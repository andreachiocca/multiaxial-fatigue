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1"/>
  <workbookPr/>
  <mc:AlternateContent xmlns:mc="http://schemas.openxmlformats.org/markup-compatibility/2006">
    <mc:Choice Requires="x15">
      <x15ac:absPath xmlns:x15ac="http://schemas.microsoft.com/office/spreadsheetml/2010/11/ac" url="/Users/kgfj/Downloads/"/>
    </mc:Choice>
  </mc:AlternateContent>
  <xr:revisionPtr revIDLastSave="0" documentId="13_ncr:1_{D63E63D8-5B2F-E64B-8317-4E25AF6F45AF}" xr6:coauthVersionLast="47" xr6:coauthVersionMax="47" xr10:uidLastSave="{00000000-0000-0000-0000-000000000000}"/>
  <bookViews>
    <workbookView xWindow="30260" yWindow="4360" windowWidth="38000" windowHeight="34760" tabRatio="189" activeTab="1" xr2:uid="{00000000-000D-0000-FFFF-FFFF00000000}"/>
  </bookViews>
  <sheets>
    <sheet name="Summary" sheetId="1" r:id="rId1"/>
    <sheet name="Datase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4" i="2" l="1"/>
  <c r="Y86" i="2"/>
  <c r="Y85" i="2"/>
  <c r="Y84" i="2"/>
  <c r="AL83" i="2"/>
  <c r="Y80" i="2"/>
  <c r="AJ76" i="2"/>
  <c r="Y72" i="2"/>
  <c r="AL70" i="2"/>
  <c r="AJ68" i="2"/>
  <c r="AJ66" i="2"/>
  <c r="AJ65" i="2"/>
  <c r="Y63" i="2"/>
  <c r="AJ59" i="2"/>
  <c r="Y55" i="2"/>
  <c r="AL54" i="2"/>
  <c r="AJ52" i="2"/>
  <c r="AJ50" i="2"/>
  <c r="AJ49" i="2"/>
  <c r="Y47" i="2"/>
  <c r="AJ43" i="2"/>
  <c r="Y39" i="2"/>
  <c r="AL38" i="2"/>
  <c r="AJ36" i="2"/>
  <c r="AJ34" i="2"/>
  <c r="AJ33" i="2"/>
  <c r="Y31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X29" i="2"/>
  <c r="X30" i="2"/>
  <c r="X31" i="2"/>
  <c r="X32" i="2"/>
  <c r="X33" i="2"/>
  <c r="X34" i="2"/>
  <c r="X35" i="2"/>
  <c r="X36" i="2"/>
  <c r="X37" i="2"/>
  <c r="X38" i="2"/>
  <c r="X39" i="2"/>
  <c r="X40" i="2"/>
  <c r="X41" i="2"/>
  <c r="X42" i="2"/>
  <c r="X43" i="2"/>
  <c r="X44" i="2"/>
  <c r="X45" i="2"/>
  <c r="X46" i="2"/>
  <c r="X47" i="2"/>
  <c r="X48" i="2"/>
  <c r="X49" i="2"/>
  <c r="X50" i="2"/>
  <c r="X51" i="2"/>
  <c r="X52" i="2"/>
  <c r="X53" i="2"/>
  <c r="X54" i="2"/>
  <c r="X55" i="2"/>
  <c r="X56" i="2"/>
  <c r="X57" i="2"/>
  <c r="X58" i="2"/>
  <c r="X59" i="2"/>
  <c r="X60" i="2"/>
  <c r="X61" i="2"/>
  <c r="X62" i="2"/>
  <c r="X63" i="2"/>
  <c r="X64" i="2"/>
  <c r="X65" i="2"/>
  <c r="X66" i="2"/>
  <c r="X67" i="2"/>
  <c r="X68" i="2"/>
  <c r="X69" i="2"/>
  <c r="X70" i="2"/>
  <c r="X71" i="2"/>
  <c r="X72" i="2"/>
  <c r="X73" i="2"/>
  <c r="X74" i="2"/>
  <c r="X75" i="2"/>
  <c r="X76" i="2"/>
  <c r="X77" i="2"/>
  <c r="X78" i="2"/>
  <c r="X79" i="2"/>
  <c r="X80" i="2"/>
  <c r="X81" i="2"/>
  <c r="X82" i="2"/>
  <c r="X83" i="2"/>
  <c r="X84" i="2"/>
  <c r="X85" i="2"/>
  <c r="X86" i="2"/>
  <c r="X87" i="2"/>
  <c r="Y29" i="2"/>
  <c r="Y30" i="2"/>
  <c r="Y32" i="2"/>
  <c r="Y34" i="2"/>
  <c r="Y35" i="2"/>
  <c r="Y37" i="2"/>
  <c r="Y38" i="2"/>
  <c r="Y40" i="2"/>
  <c r="Y41" i="2"/>
  <c r="Y42" i="2"/>
  <c r="Y43" i="2"/>
  <c r="Y44" i="2"/>
  <c r="Y45" i="2"/>
  <c r="Y46" i="2"/>
  <c r="Y48" i="2"/>
  <c r="Y50" i="2"/>
  <c r="Y51" i="2"/>
  <c r="Y53" i="2"/>
  <c r="Y54" i="2"/>
  <c r="Y56" i="2"/>
  <c r="Y57" i="2"/>
  <c r="Y58" i="2"/>
  <c r="Y59" i="2"/>
  <c r="Y60" i="2"/>
  <c r="Y61" i="2"/>
  <c r="Y62" i="2"/>
  <c r="Y64" i="2"/>
  <c r="Y66" i="2"/>
  <c r="Y67" i="2"/>
  <c r="Y69" i="2"/>
  <c r="Y70" i="2"/>
  <c r="Y71" i="2"/>
  <c r="Y73" i="2"/>
  <c r="Y74" i="2"/>
  <c r="Y75" i="2"/>
  <c r="Y76" i="2"/>
  <c r="Y77" i="2"/>
  <c r="Y78" i="2"/>
  <c r="Y79" i="2"/>
  <c r="Y81" i="2"/>
  <c r="Y82" i="2"/>
  <c r="Y83" i="2"/>
  <c r="Y87" i="2"/>
  <c r="Z29" i="2"/>
  <c r="Z30" i="2"/>
  <c r="Z31" i="2"/>
  <c r="Z32" i="2"/>
  <c r="Z33" i="2"/>
  <c r="Z34" i="2"/>
  <c r="Z35" i="2"/>
  <c r="Z36" i="2"/>
  <c r="Z37" i="2"/>
  <c r="Z38" i="2"/>
  <c r="Z39" i="2"/>
  <c r="Z40" i="2"/>
  <c r="Z41" i="2"/>
  <c r="Z42" i="2"/>
  <c r="Z43" i="2"/>
  <c r="Z44" i="2"/>
  <c r="Z45" i="2"/>
  <c r="Z46" i="2"/>
  <c r="Z47" i="2"/>
  <c r="Z48" i="2"/>
  <c r="Z49" i="2"/>
  <c r="Z50" i="2"/>
  <c r="Z51" i="2"/>
  <c r="Z52" i="2"/>
  <c r="Z53" i="2"/>
  <c r="Z54" i="2"/>
  <c r="Z55" i="2"/>
  <c r="Z56" i="2"/>
  <c r="Z57" i="2"/>
  <c r="Z58" i="2"/>
  <c r="Z59" i="2"/>
  <c r="Z60" i="2"/>
  <c r="Z61" i="2"/>
  <c r="Z62" i="2"/>
  <c r="Z63" i="2"/>
  <c r="Z64" i="2"/>
  <c r="Z65" i="2"/>
  <c r="Z66" i="2"/>
  <c r="Z67" i="2"/>
  <c r="Z68" i="2"/>
  <c r="Z69" i="2"/>
  <c r="Z70" i="2"/>
  <c r="Z71" i="2"/>
  <c r="Z72" i="2"/>
  <c r="Z73" i="2"/>
  <c r="Z74" i="2"/>
  <c r="Z75" i="2"/>
  <c r="Z76" i="2"/>
  <c r="Z77" i="2"/>
  <c r="Z78" i="2"/>
  <c r="Z79" i="2"/>
  <c r="Z80" i="2"/>
  <c r="Z81" i="2"/>
  <c r="Z82" i="2"/>
  <c r="Z83" i="2"/>
  <c r="Z84" i="2"/>
  <c r="Z85" i="2"/>
  <c r="Z86" i="2"/>
  <c r="Z87" i="2"/>
  <c r="AH29" i="2"/>
  <c r="AH30" i="2"/>
  <c r="AH31" i="2"/>
  <c r="AH32" i="2"/>
  <c r="AH33" i="2"/>
  <c r="AH34" i="2"/>
  <c r="AH35" i="2"/>
  <c r="AH36" i="2"/>
  <c r="AH37" i="2"/>
  <c r="AH38" i="2"/>
  <c r="AH39" i="2"/>
  <c r="AH40" i="2"/>
  <c r="AH41" i="2"/>
  <c r="AH42" i="2"/>
  <c r="AH43" i="2"/>
  <c r="AH44" i="2"/>
  <c r="AH45" i="2"/>
  <c r="AH46" i="2"/>
  <c r="AH47" i="2"/>
  <c r="AH48" i="2"/>
  <c r="AH49" i="2"/>
  <c r="AH50" i="2"/>
  <c r="AH51" i="2"/>
  <c r="AH52" i="2"/>
  <c r="AH53" i="2"/>
  <c r="AH54" i="2"/>
  <c r="AH55" i="2"/>
  <c r="AH56" i="2"/>
  <c r="AH57" i="2"/>
  <c r="AH58" i="2"/>
  <c r="AH59" i="2"/>
  <c r="AH60" i="2"/>
  <c r="AH61" i="2"/>
  <c r="AH62" i="2"/>
  <c r="AH63" i="2"/>
  <c r="AH64" i="2"/>
  <c r="AH65" i="2"/>
  <c r="AH66" i="2"/>
  <c r="AH67" i="2"/>
  <c r="AH68" i="2"/>
  <c r="AH69" i="2"/>
  <c r="AH70" i="2"/>
  <c r="AH71" i="2"/>
  <c r="AH72" i="2"/>
  <c r="AH73" i="2"/>
  <c r="AH74" i="2"/>
  <c r="AH75" i="2"/>
  <c r="AH76" i="2"/>
  <c r="AH77" i="2"/>
  <c r="AH78" i="2"/>
  <c r="AH79" i="2"/>
  <c r="AH80" i="2"/>
  <c r="AH81" i="2"/>
  <c r="AH82" i="2"/>
  <c r="AH83" i="2"/>
  <c r="AH84" i="2"/>
  <c r="AH85" i="2"/>
  <c r="AH86" i="2"/>
  <c r="AH87" i="2"/>
  <c r="AI29" i="2"/>
  <c r="AI30" i="2"/>
  <c r="AI31" i="2"/>
  <c r="AI32" i="2"/>
  <c r="AI33" i="2"/>
  <c r="AI34" i="2"/>
  <c r="AI35" i="2"/>
  <c r="AI36" i="2"/>
  <c r="AI37" i="2"/>
  <c r="AI38" i="2"/>
  <c r="AI39" i="2"/>
  <c r="AI40" i="2"/>
  <c r="AI41" i="2"/>
  <c r="AI42" i="2"/>
  <c r="AI43" i="2"/>
  <c r="AI44" i="2"/>
  <c r="AI45" i="2"/>
  <c r="AI46" i="2"/>
  <c r="AI47" i="2"/>
  <c r="AI48" i="2"/>
  <c r="AI49" i="2"/>
  <c r="AI50" i="2"/>
  <c r="AI51" i="2"/>
  <c r="AI52" i="2"/>
  <c r="AI53" i="2"/>
  <c r="AI54" i="2"/>
  <c r="AI55" i="2"/>
  <c r="AI56" i="2"/>
  <c r="AI57" i="2"/>
  <c r="AI58" i="2"/>
  <c r="AI59" i="2"/>
  <c r="AI60" i="2"/>
  <c r="AI61" i="2"/>
  <c r="AI62" i="2"/>
  <c r="AI63" i="2"/>
  <c r="AI64" i="2"/>
  <c r="AI65" i="2"/>
  <c r="AI66" i="2"/>
  <c r="AI67" i="2"/>
  <c r="AI68" i="2"/>
  <c r="AI69" i="2"/>
  <c r="AI70" i="2"/>
  <c r="AI71" i="2"/>
  <c r="AI72" i="2"/>
  <c r="AI73" i="2"/>
  <c r="AI74" i="2"/>
  <c r="AI75" i="2"/>
  <c r="AI76" i="2"/>
  <c r="AI77" i="2"/>
  <c r="AI78" i="2"/>
  <c r="AI79" i="2"/>
  <c r="AI80" i="2"/>
  <c r="AI81" i="2"/>
  <c r="AI82" i="2"/>
  <c r="AI83" i="2"/>
  <c r="AI84" i="2"/>
  <c r="AI85" i="2"/>
  <c r="AI86" i="2"/>
  <c r="AI87" i="2"/>
  <c r="AJ29" i="2"/>
  <c r="AJ30" i="2"/>
  <c r="AJ31" i="2"/>
  <c r="AJ32" i="2"/>
  <c r="AJ35" i="2"/>
  <c r="AJ37" i="2"/>
  <c r="AJ38" i="2"/>
  <c r="AJ40" i="2"/>
  <c r="AJ41" i="2"/>
  <c r="AJ42" i="2"/>
  <c r="AJ44" i="2"/>
  <c r="AJ45" i="2"/>
  <c r="AJ46" i="2"/>
  <c r="AJ47" i="2"/>
  <c r="AJ48" i="2"/>
  <c r="AJ51" i="2"/>
  <c r="AJ53" i="2"/>
  <c r="AJ54" i="2"/>
  <c r="AJ56" i="2"/>
  <c r="AJ57" i="2"/>
  <c r="AJ58" i="2"/>
  <c r="AJ60" i="2"/>
  <c r="AJ61" i="2"/>
  <c r="AJ62" i="2"/>
  <c r="AJ63" i="2"/>
  <c r="AJ64" i="2"/>
  <c r="AJ67" i="2"/>
  <c r="AJ69" i="2"/>
  <c r="AJ70" i="2"/>
  <c r="AJ71" i="2"/>
  <c r="AJ72" i="2"/>
  <c r="AJ73" i="2"/>
  <c r="AJ74" i="2"/>
  <c r="AJ75" i="2"/>
  <c r="AJ77" i="2"/>
  <c r="AJ78" i="2"/>
  <c r="AJ79" i="2"/>
  <c r="AJ80" i="2"/>
  <c r="AJ81" i="2"/>
  <c r="AJ82" i="2"/>
  <c r="AJ84" i="2"/>
  <c r="AJ85" i="2"/>
  <c r="AJ86" i="2"/>
  <c r="AJ87" i="2"/>
  <c r="AK29" i="2"/>
  <c r="AK30" i="2"/>
  <c r="AK31" i="2"/>
  <c r="AK32" i="2"/>
  <c r="AK33" i="2"/>
  <c r="AK34" i="2"/>
  <c r="AK35" i="2"/>
  <c r="AK36" i="2"/>
  <c r="AK37" i="2"/>
  <c r="AK38" i="2"/>
  <c r="AK39" i="2"/>
  <c r="AK40" i="2"/>
  <c r="AK41" i="2"/>
  <c r="AK42" i="2"/>
  <c r="AK43" i="2"/>
  <c r="AK44" i="2"/>
  <c r="AK45" i="2"/>
  <c r="AK46" i="2"/>
  <c r="AK47" i="2"/>
  <c r="AK48" i="2"/>
  <c r="AK49" i="2"/>
  <c r="AK50" i="2"/>
  <c r="AK51" i="2"/>
  <c r="AK52" i="2"/>
  <c r="AK53" i="2"/>
  <c r="AK54" i="2"/>
  <c r="AK55" i="2"/>
  <c r="AK56" i="2"/>
  <c r="AK57" i="2"/>
  <c r="AK58" i="2"/>
  <c r="AK59" i="2"/>
  <c r="AK60" i="2"/>
  <c r="AK61" i="2"/>
  <c r="AK62" i="2"/>
  <c r="AK63" i="2"/>
  <c r="AK64" i="2"/>
  <c r="AK65" i="2"/>
  <c r="AK66" i="2"/>
  <c r="AK67" i="2"/>
  <c r="AK68" i="2"/>
  <c r="AK69" i="2"/>
  <c r="AK70" i="2"/>
  <c r="AK71" i="2"/>
  <c r="AK72" i="2"/>
  <c r="AK73" i="2"/>
  <c r="AK74" i="2"/>
  <c r="AK75" i="2"/>
  <c r="AK76" i="2"/>
  <c r="AK77" i="2"/>
  <c r="AK78" i="2"/>
  <c r="AK79" i="2"/>
  <c r="AK80" i="2"/>
  <c r="AK81" i="2"/>
  <c r="AK82" i="2"/>
  <c r="AK83" i="2"/>
  <c r="AK84" i="2"/>
  <c r="AK85" i="2"/>
  <c r="AK86" i="2"/>
  <c r="AK87" i="2"/>
  <c r="AL29" i="2"/>
  <c r="AL30" i="2"/>
  <c r="AL32" i="2"/>
  <c r="AL35" i="2"/>
  <c r="AL36" i="2"/>
  <c r="AL37" i="2"/>
  <c r="AL40" i="2"/>
  <c r="AL41" i="2"/>
  <c r="AL42" i="2"/>
  <c r="AL44" i="2"/>
  <c r="AL45" i="2"/>
  <c r="AL46" i="2"/>
  <c r="AL48" i="2"/>
  <c r="AL51" i="2"/>
  <c r="AL52" i="2"/>
  <c r="AL53" i="2"/>
  <c r="AL56" i="2"/>
  <c r="AL57" i="2"/>
  <c r="AL58" i="2"/>
  <c r="AL60" i="2"/>
  <c r="AL61" i="2"/>
  <c r="AL62" i="2"/>
  <c r="AL64" i="2"/>
  <c r="AL67" i="2"/>
  <c r="AL68" i="2"/>
  <c r="AL69" i="2"/>
  <c r="AL71" i="2"/>
  <c r="AL73" i="2"/>
  <c r="AL74" i="2"/>
  <c r="AL75" i="2"/>
  <c r="AL77" i="2"/>
  <c r="AL78" i="2"/>
  <c r="AL79" i="2"/>
  <c r="AL80" i="2"/>
  <c r="AL81" i="2"/>
  <c r="AL82" i="2"/>
  <c r="AL84" i="2"/>
  <c r="AL85" i="2"/>
  <c r="AL86" i="2"/>
  <c r="AL87" i="2"/>
  <c r="AM29" i="2"/>
  <c r="AM30" i="2"/>
  <c r="AM31" i="2"/>
  <c r="AM32" i="2"/>
  <c r="AM33" i="2"/>
  <c r="AM34" i="2"/>
  <c r="AM35" i="2"/>
  <c r="AM36" i="2"/>
  <c r="AM37" i="2"/>
  <c r="AM38" i="2"/>
  <c r="AM39" i="2"/>
  <c r="AM40" i="2"/>
  <c r="AM41" i="2"/>
  <c r="AM42" i="2"/>
  <c r="AM43" i="2"/>
  <c r="AM44" i="2"/>
  <c r="AM45" i="2"/>
  <c r="AM46" i="2"/>
  <c r="AM47" i="2"/>
  <c r="AM48" i="2"/>
  <c r="AM49" i="2"/>
  <c r="AM50" i="2"/>
  <c r="AM51" i="2"/>
  <c r="AM52" i="2"/>
  <c r="AM53" i="2"/>
  <c r="AM54" i="2"/>
  <c r="AM55" i="2"/>
  <c r="AM56" i="2"/>
  <c r="AM57" i="2"/>
  <c r="AM58" i="2"/>
  <c r="AM59" i="2"/>
  <c r="AM60" i="2"/>
  <c r="AM61" i="2"/>
  <c r="AM62" i="2"/>
  <c r="AM63" i="2"/>
  <c r="AM64" i="2"/>
  <c r="AM65" i="2"/>
  <c r="AM66" i="2"/>
  <c r="AM67" i="2"/>
  <c r="AM68" i="2"/>
  <c r="AM69" i="2"/>
  <c r="AM70" i="2"/>
  <c r="AM71" i="2"/>
  <c r="AM72" i="2"/>
  <c r="AM73" i="2"/>
  <c r="AM74" i="2"/>
  <c r="AM75" i="2"/>
  <c r="AM76" i="2"/>
  <c r="AM77" i="2"/>
  <c r="AM78" i="2"/>
  <c r="AM79" i="2"/>
  <c r="AM80" i="2"/>
  <c r="AM81" i="2"/>
  <c r="AM82" i="2"/>
  <c r="AM83" i="2"/>
  <c r="AM84" i="2"/>
  <c r="AM85" i="2"/>
  <c r="AM86" i="2"/>
  <c r="AM87" i="2"/>
  <c r="AN29" i="2"/>
  <c r="AN30" i="2"/>
  <c r="AN31" i="2"/>
  <c r="AN32" i="2"/>
  <c r="AN33" i="2"/>
  <c r="AN34" i="2"/>
  <c r="AN35" i="2"/>
  <c r="AN36" i="2"/>
  <c r="AN37" i="2"/>
  <c r="AN38" i="2"/>
  <c r="AN39" i="2"/>
  <c r="AN40" i="2"/>
  <c r="AN41" i="2"/>
  <c r="AN42" i="2"/>
  <c r="AN43" i="2"/>
  <c r="AN44" i="2"/>
  <c r="AN45" i="2"/>
  <c r="AN46" i="2"/>
  <c r="AN47" i="2"/>
  <c r="AN48" i="2"/>
  <c r="AN49" i="2"/>
  <c r="AN50" i="2"/>
  <c r="AN51" i="2"/>
  <c r="AN52" i="2"/>
  <c r="AN53" i="2"/>
  <c r="AN54" i="2"/>
  <c r="AN55" i="2"/>
  <c r="AN56" i="2"/>
  <c r="AN57" i="2"/>
  <c r="AN58" i="2"/>
  <c r="AN59" i="2"/>
  <c r="AN60" i="2"/>
  <c r="AN61" i="2"/>
  <c r="AN62" i="2"/>
  <c r="AN63" i="2"/>
  <c r="AN64" i="2"/>
  <c r="AN65" i="2"/>
  <c r="AN66" i="2"/>
  <c r="AN67" i="2"/>
  <c r="AN68" i="2"/>
  <c r="AN69" i="2"/>
  <c r="AN70" i="2"/>
  <c r="AN71" i="2"/>
  <c r="AN72" i="2"/>
  <c r="AN73" i="2"/>
  <c r="AN74" i="2"/>
  <c r="AN75" i="2"/>
  <c r="AN76" i="2"/>
  <c r="AN77" i="2"/>
  <c r="AN78" i="2"/>
  <c r="AN79" i="2"/>
  <c r="AN80" i="2"/>
  <c r="AN81" i="2"/>
  <c r="AN82" i="2"/>
  <c r="AN83" i="2"/>
  <c r="AN84" i="2"/>
  <c r="AN85" i="2"/>
  <c r="AN86" i="2"/>
  <c r="AN87" i="2"/>
  <c r="AO29" i="2"/>
  <c r="AO30" i="2"/>
  <c r="AO31" i="2"/>
  <c r="AO32" i="2"/>
  <c r="AO33" i="2"/>
  <c r="AO34" i="2"/>
  <c r="AO35" i="2"/>
  <c r="AO36" i="2"/>
  <c r="AO37" i="2"/>
  <c r="AO38" i="2"/>
  <c r="AO39" i="2"/>
  <c r="AO40" i="2"/>
  <c r="AO41" i="2"/>
  <c r="AO42" i="2"/>
  <c r="AO43" i="2"/>
  <c r="AO44" i="2"/>
  <c r="AO45" i="2"/>
  <c r="AO46" i="2"/>
  <c r="AO47" i="2"/>
  <c r="AO48" i="2"/>
  <c r="AO49" i="2"/>
  <c r="AO50" i="2"/>
  <c r="AO51" i="2"/>
  <c r="AO52" i="2"/>
  <c r="AO53" i="2"/>
  <c r="AO54" i="2"/>
  <c r="AO55" i="2"/>
  <c r="AO56" i="2"/>
  <c r="AO57" i="2"/>
  <c r="AO58" i="2"/>
  <c r="AO59" i="2"/>
  <c r="AO60" i="2"/>
  <c r="AO61" i="2"/>
  <c r="AO62" i="2"/>
  <c r="AO63" i="2"/>
  <c r="AO64" i="2"/>
  <c r="AO65" i="2"/>
  <c r="AO66" i="2"/>
  <c r="AO67" i="2"/>
  <c r="AO68" i="2"/>
  <c r="AO69" i="2"/>
  <c r="AO70" i="2"/>
  <c r="AO71" i="2"/>
  <c r="AO72" i="2"/>
  <c r="AO73" i="2"/>
  <c r="AO74" i="2"/>
  <c r="AO75" i="2"/>
  <c r="AO76" i="2"/>
  <c r="AO77" i="2"/>
  <c r="AO78" i="2"/>
  <c r="AO79" i="2"/>
  <c r="AO80" i="2"/>
  <c r="AO81" i="2"/>
  <c r="AO82" i="2"/>
  <c r="AO83" i="2"/>
  <c r="AO84" i="2"/>
  <c r="AO85" i="2"/>
  <c r="AO86" i="2"/>
  <c r="AO87" i="2"/>
  <c r="AP29" i="2"/>
  <c r="AP30" i="2"/>
  <c r="AP31" i="2"/>
  <c r="AP32" i="2"/>
  <c r="AP33" i="2"/>
  <c r="AP34" i="2"/>
  <c r="AP35" i="2"/>
  <c r="AP36" i="2"/>
  <c r="AP37" i="2"/>
  <c r="AP38" i="2"/>
  <c r="AP39" i="2"/>
  <c r="AP40" i="2"/>
  <c r="AP41" i="2"/>
  <c r="AP42" i="2"/>
  <c r="AP43" i="2"/>
  <c r="AP44" i="2"/>
  <c r="AP45" i="2"/>
  <c r="AP46" i="2"/>
  <c r="AP47" i="2"/>
  <c r="AP48" i="2"/>
  <c r="AP49" i="2"/>
  <c r="AP50" i="2"/>
  <c r="AP51" i="2"/>
  <c r="AP52" i="2"/>
  <c r="AP53" i="2"/>
  <c r="AP54" i="2"/>
  <c r="AP55" i="2"/>
  <c r="AP56" i="2"/>
  <c r="AP57" i="2"/>
  <c r="AP58" i="2"/>
  <c r="AP59" i="2"/>
  <c r="AP60" i="2"/>
  <c r="AP61" i="2"/>
  <c r="AP62" i="2"/>
  <c r="AP63" i="2"/>
  <c r="AP64" i="2"/>
  <c r="AP65" i="2"/>
  <c r="AP66" i="2"/>
  <c r="AP67" i="2"/>
  <c r="AP68" i="2"/>
  <c r="AP69" i="2"/>
  <c r="AP70" i="2"/>
  <c r="AP71" i="2"/>
  <c r="AP72" i="2"/>
  <c r="AP73" i="2"/>
  <c r="AP74" i="2"/>
  <c r="AP75" i="2"/>
  <c r="AP76" i="2"/>
  <c r="AP77" i="2"/>
  <c r="AP78" i="2"/>
  <c r="AP79" i="2"/>
  <c r="AP80" i="2"/>
  <c r="AP81" i="2"/>
  <c r="AP82" i="2"/>
  <c r="AP83" i="2"/>
  <c r="AP84" i="2"/>
  <c r="AP85" i="2"/>
  <c r="AP86" i="2"/>
  <c r="AP87" i="2"/>
  <c r="AQ29" i="2"/>
  <c r="AQ30" i="2"/>
  <c r="AQ31" i="2"/>
  <c r="AQ32" i="2"/>
  <c r="AQ33" i="2"/>
  <c r="AQ34" i="2"/>
  <c r="AQ35" i="2"/>
  <c r="AQ36" i="2"/>
  <c r="AQ37" i="2"/>
  <c r="AQ38" i="2"/>
  <c r="AQ39" i="2"/>
  <c r="AQ40" i="2"/>
  <c r="AQ41" i="2"/>
  <c r="AQ42" i="2"/>
  <c r="AQ43" i="2"/>
  <c r="AQ44" i="2"/>
  <c r="AQ45" i="2"/>
  <c r="AQ46" i="2"/>
  <c r="AQ47" i="2"/>
  <c r="AQ48" i="2"/>
  <c r="AQ49" i="2"/>
  <c r="AQ50" i="2"/>
  <c r="AQ51" i="2"/>
  <c r="AQ52" i="2"/>
  <c r="AQ53" i="2"/>
  <c r="AQ54" i="2"/>
  <c r="AQ55" i="2"/>
  <c r="AQ56" i="2"/>
  <c r="AQ57" i="2"/>
  <c r="AQ58" i="2"/>
  <c r="AQ59" i="2"/>
  <c r="AQ60" i="2"/>
  <c r="AQ61" i="2"/>
  <c r="AQ62" i="2"/>
  <c r="AQ63" i="2"/>
  <c r="AQ64" i="2"/>
  <c r="AQ65" i="2"/>
  <c r="AQ66" i="2"/>
  <c r="AQ67" i="2"/>
  <c r="AQ68" i="2"/>
  <c r="AQ69" i="2"/>
  <c r="AQ70" i="2"/>
  <c r="AQ71" i="2"/>
  <c r="AQ72" i="2"/>
  <c r="AQ73" i="2"/>
  <c r="AQ74" i="2"/>
  <c r="AQ75" i="2"/>
  <c r="AQ76" i="2"/>
  <c r="AQ77" i="2"/>
  <c r="AQ78" i="2"/>
  <c r="AQ79" i="2"/>
  <c r="AQ80" i="2"/>
  <c r="AQ81" i="2"/>
  <c r="AQ82" i="2"/>
  <c r="AQ83" i="2"/>
  <c r="AQ84" i="2"/>
  <c r="AQ85" i="2"/>
  <c r="AQ86" i="2"/>
  <c r="AQ87" i="2"/>
  <c r="AJ83" i="2" l="1"/>
  <c r="AL76" i="2"/>
  <c r="AL72" i="2"/>
  <c r="AL66" i="2"/>
  <c r="AL50" i="2"/>
  <c r="AL34" i="2"/>
  <c r="Y68" i="2"/>
  <c r="Y52" i="2"/>
  <c r="Y36" i="2"/>
  <c r="AL65" i="2"/>
  <c r="AL49" i="2"/>
  <c r="AL33" i="2"/>
  <c r="AJ55" i="2"/>
  <c r="AJ39" i="2"/>
  <c r="AL63" i="2"/>
  <c r="AL47" i="2"/>
  <c r="AL31" i="2"/>
  <c r="Y65" i="2"/>
  <c r="Y49" i="2"/>
  <c r="Y33" i="2"/>
  <c r="AL59" i="2"/>
  <c r="AL43" i="2"/>
  <c r="AL39" i="2"/>
  <c r="AL55" i="2"/>
  <c r="AH2" i="2" l="1"/>
  <c r="AI2" i="2"/>
  <c r="AP2" i="2"/>
  <c r="AQ2" i="2"/>
  <c r="AH3" i="2"/>
  <c r="AI3" i="2"/>
  <c r="AP3" i="2"/>
  <c r="AQ3" i="2"/>
  <c r="Z27" i="2"/>
  <c r="Z26" i="2"/>
  <c r="Z25" i="2"/>
  <c r="Z24" i="2"/>
  <c r="Z23" i="2"/>
  <c r="Z21" i="2"/>
  <c r="Z20" i="2"/>
  <c r="Z19" i="2"/>
  <c r="Z10" i="2"/>
  <c r="Z9" i="2"/>
  <c r="Z8" i="2"/>
  <c r="Z7" i="2"/>
  <c r="Z4" i="2"/>
  <c r="Z3" i="2"/>
  <c r="AP7" i="2"/>
  <c r="AK25" i="2"/>
  <c r="AJ25" i="2"/>
  <c r="AI4" i="2"/>
  <c r="AI5" i="2"/>
  <c r="AI6" i="2"/>
  <c r="AI7" i="2"/>
  <c r="AI8" i="2"/>
  <c r="AI9" i="2"/>
  <c r="AI10" i="2"/>
  <c r="AI11" i="2"/>
  <c r="AI12" i="2"/>
  <c r="AI13" i="2"/>
  <c r="AI14" i="2"/>
  <c r="AI15" i="2"/>
  <c r="AI16" i="2"/>
  <c r="AI17" i="2"/>
  <c r="AI18" i="2"/>
  <c r="AI19" i="2"/>
  <c r="AI20" i="2"/>
  <c r="AI21" i="2"/>
  <c r="AI22" i="2"/>
  <c r="AI23" i="2"/>
  <c r="AI24" i="2"/>
  <c r="AI25" i="2"/>
  <c r="AI26" i="2"/>
  <c r="AI27" i="2"/>
  <c r="AI28" i="2"/>
  <c r="AH4" i="2"/>
  <c r="AH5" i="2"/>
  <c r="AH6" i="2"/>
  <c r="AH7" i="2"/>
  <c r="AH8" i="2"/>
  <c r="AH9" i="2"/>
  <c r="AH10" i="2"/>
  <c r="AH11" i="2"/>
  <c r="AH12" i="2"/>
  <c r="AH13" i="2"/>
  <c r="AH14" i="2"/>
  <c r="AH15" i="2"/>
  <c r="AH16" i="2"/>
  <c r="AH17" i="2"/>
  <c r="AH18" i="2"/>
  <c r="AH19" i="2"/>
  <c r="AH20" i="2"/>
  <c r="AH21" i="2"/>
  <c r="AH22" i="2"/>
  <c r="AH23" i="2"/>
  <c r="AH24" i="2"/>
  <c r="AH25" i="2"/>
  <c r="AH26" i="2"/>
  <c r="AH27" i="2"/>
  <c r="AH28" i="2"/>
  <c r="Z2" i="2"/>
  <c r="Z5" i="2"/>
  <c r="Z6" i="2"/>
  <c r="Z11" i="2"/>
  <c r="Z12" i="2"/>
  <c r="Z13" i="2"/>
  <c r="Z14" i="2"/>
  <c r="Z15" i="2"/>
  <c r="Z16" i="2"/>
  <c r="Z17" i="2"/>
  <c r="Z18" i="2"/>
  <c r="Z22" i="2"/>
  <c r="Z28" i="2"/>
  <c r="Y2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X2" i="2"/>
  <c r="X3" i="2"/>
  <c r="X4" i="2"/>
  <c r="X5" i="2"/>
  <c r="X6" i="2"/>
  <c r="X7" i="2"/>
  <c r="X8" i="2"/>
  <c r="X9" i="2"/>
  <c r="X10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O3" i="2"/>
  <c r="O4" i="2"/>
  <c r="AJ4" i="2" s="1"/>
  <c r="O5" i="2"/>
  <c r="O6" i="2"/>
  <c r="O7" i="2"/>
  <c r="O8" i="2"/>
  <c r="O9" i="2"/>
  <c r="O10" i="2"/>
  <c r="O11" i="2"/>
  <c r="O12" i="2"/>
  <c r="O13" i="2"/>
  <c r="AK13" i="2" s="1"/>
  <c r="O14" i="2"/>
  <c r="O15" i="2"/>
  <c r="O16" i="2"/>
  <c r="O17" i="2"/>
  <c r="O18" i="2"/>
  <c r="AJ18" i="2" s="1"/>
  <c r="O19" i="2"/>
  <c r="O20" i="2"/>
  <c r="AJ20" i="2" s="1"/>
  <c r="O21" i="2"/>
  <c r="O22" i="2"/>
  <c r="O23" i="2"/>
  <c r="O24" i="2"/>
  <c r="O25" i="2"/>
  <c r="O26" i="2"/>
  <c r="O27" i="2"/>
  <c r="O28" i="2"/>
  <c r="O2" i="2"/>
  <c r="Q2" i="2"/>
  <c r="AQ4" i="2"/>
  <c r="AQ5" i="2"/>
  <c r="AQ6" i="2"/>
  <c r="AQ7" i="2"/>
  <c r="AQ8" i="2"/>
  <c r="AQ9" i="2"/>
  <c r="AQ10" i="2"/>
  <c r="AQ11" i="2"/>
  <c r="AQ12" i="2"/>
  <c r="AQ13" i="2"/>
  <c r="AQ14" i="2"/>
  <c r="AQ15" i="2"/>
  <c r="AQ16" i="2"/>
  <c r="AQ17" i="2"/>
  <c r="AQ18" i="2"/>
  <c r="AQ19" i="2"/>
  <c r="AQ20" i="2"/>
  <c r="AQ21" i="2"/>
  <c r="AQ22" i="2"/>
  <c r="AQ23" i="2"/>
  <c r="AQ24" i="2"/>
  <c r="AQ25" i="2"/>
  <c r="AQ26" i="2"/>
  <c r="AQ27" i="2"/>
  <c r="AQ28" i="2"/>
  <c r="AK28" i="2" l="1"/>
  <c r="AJ28" i="2"/>
  <c r="AK27" i="2"/>
  <c r="AJ27" i="2"/>
  <c r="AJ26" i="2"/>
  <c r="AK26" i="2"/>
  <c r="AK24" i="2"/>
  <c r="AJ24" i="2"/>
  <c r="AK23" i="2"/>
  <c r="AJ23" i="2"/>
  <c r="AK22" i="2"/>
  <c r="AJ22" i="2"/>
  <c r="AJ21" i="2"/>
  <c r="AK21" i="2"/>
  <c r="AK19" i="2"/>
  <c r="AJ19" i="2"/>
  <c r="AK17" i="2"/>
  <c r="AJ17" i="2"/>
  <c r="AK16" i="2"/>
  <c r="AJ16" i="2"/>
  <c r="AK15" i="2"/>
  <c r="AJ15" i="2"/>
  <c r="AK14" i="2"/>
  <c r="AJ14" i="2"/>
  <c r="AK12" i="2"/>
  <c r="AJ12" i="2"/>
  <c r="AK11" i="2"/>
  <c r="AJ11" i="2"/>
  <c r="AJ10" i="2"/>
  <c r="AK10" i="2"/>
  <c r="AK9" i="2"/>
  <c r="AJ9" i="2"/>
  <c r="AK8" i="2"/>
  <c r="AJ8" i="2"/>
  <c r="AK7" i="2"/>
  <c r="AJ7" i="2"/>
  <c r="AK6" i="2"/>
  <c r="AJ6" i="2"/>
  <c r="AJ5" i="2"/>
  <c r="AK5" i="2"/>
  <c r="AJ3" i="2"/>
  <c r="AK3" i="2"/>
  <c r="AK2" i="2"/>
  <c r="AJ2" i="2"/>
  <c r="AN2" i="2"/>
  <c r="AO2" i="2"/>
  <c r="AJ13" i="2"/>
  <c r="AK20" i="2"/>
  <c r="AK4" i="2"/>
  <c r="AK18" i="2"/>
  <c r="AP4" i="2"/>
  <c r="AP5" i="2"/>
  <c r="AP6" i="2"/>
  <c r="AP8" i="2"/>
  <c r="AP9" i="2"/>
  <c r="AP10" i="2"/>
  <c r="AP11" i="2"/>
  <c r="AP12" i="2"/>
  <c r="AP13" i="2"/>
  <c r="AP14" i="2"/>
  <c r="AP15" i="2"/>
  <c r="AP16" i="2"/>
  <c r="AP17" i="2"/>
  <c r="AP18" i="2"/>
  <c r="AP19" i="2"/>
  <c r="AP20" i="2"/>
  <c r="AP21" i="2"/>
  <c r="AP22" i="2"/>
  <c r="AP23" i="2"/>
  <c r="AP24" i="2"/>
  <c r="AP25" i="2"/>
  <c r="AP26" i="2"/>
  <c r="AP27" i="2"/>
  <c r="AP28" i="2"/>
  <c r="Q4" i="2"/>
  <c r="Q3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P2" i="2"/>
  <c r="P3" i="2"/>
  <c r="P4" i="2"/>
  <c r="AL4" i="2" s="1"/>
  <c r="P5" i="2"/>
  <c r="AL5" i="2" s="1"/>
  <c r="P6" i="2"/>
  <c r="AL6" i="2" s="1"/>
  <c r="P7" i="2"/>
  <c r="AL7" i="2" s="1"/>
  <c r="P8" i="2"/>
  <c r="AL8" i="2" s="1"/>
  <c r="P9" i="2"/>
  <c r="AL9" i="2" s="1"/>
  <c r="P10" i="2"/>
  <c r="AL10" i="2" s="1"/>
  <c r="P11" i="2"/>
  <c r="AL11" i="2" s="1"/>
  <c r="P12" i="2"/>
  <c r="AL12" i="2" s="1"/>
  <c r="P13" i="2"/>
  <c r="AL13" i="2" s="1"/>
  <c r="P14" i="2"/>
  <c r="AL14" i="2" s="1"/>
  <c r="P15" i="2"/>
  <c r="AL15" i="2" s="1"/>
  <c r="P16" i="2"/>
  <c r="AL16" i="2" s="1"/>
  <c r="P17" i="2"/>
  <c r="AL17" i="2" s="1"/>
  <c r="P18" i="2"/>
  <c r="AL18" i="2" s="1"/>
  <c r="P19" i="2"/>
  <c r="AL19" i="2" s="1"/>
  <c r="P20" i="2"/>
  <c r="AL20" i="2" s="1"/>
  <c r="P21" i="2"/>
  <c r="AL21" i="2" s="1"/>
  <c r="P22" i="2"/>
  <c r="AL22" i="2" s="1"/>
  <c r="P23" i="2"/>
  <c r="AL23" i="2" s="1"/>
  <c r="P24" i="2"/>
  <c r="AL24" i="2" s="1"/>
  <c r="P25" i="2"/>
  <c r="AL25" i="2" s="1"/>
  <c r="P26" i="2"/>
  <c r="AL26" i="2" s="1"/>
  <c r="P27" i="2"/>
  <c r="AL27" i="2" s="1"/>
  <c r="P28" i="2"/>
  <c r="AL28" i="2" s="1"/>
  <c r="M3" i="1"/>
  <c r="AN3" i="2" l="1"/>
  <c r="AO3" i="2"/>
  <c r="AL3" i="2"/>
  <c r="AM3" i="2"/>
  <c r="AM2" i="2"/>
  <c r="AL2" i="2"/>
  <c r="AO20" i="2"/>
  <c r="AN20" i="2"/>
  <c r="AN17" i="2"/>
  <c r="AO17" i="2"/>
  <c r="AN16" i="2"/>
  <c r="AO16" i="2"/>
  <c r="AO15" i="2"/>
  <c r="AN15" i="2"/>
  <c r="AO14" i="2"/>
  <c r="AN14" i="2"/>
  <c r="AO13" i="2"/>
  <c r="AN13" i="2"/>
  <c r="AO28" i="2"/>
  <c r="AN28" i="2"/>
  <c r="AO12" i="2"/>
  <c r="AN12" i="2"/>
  <c r="AO5" i="2"/>
  <c r="AN5" i="2"/>
  <c r="AO27" i="2"/>
  <c r="AN27" i="2"/>
  <c r="AO11" i="2"/>
  <c r="AN11" i="2"/>
  <c r="AO26" i="2"/>
  <c r="AN26" i="2"/>
  <c r="AO10" i="2"/>
  <c r="AN10" i="2"/>
  <c r="AO4" i="2"/>
  <c r="AN4" i="2"/>
  <c r="AO25" i="2"/>
  <c r="AN25" i="2"/>
  <c r="AO9" i="2"/>
  <c r="AN9" i="2"/>
  <c r="AO21" i="2"/>
  <c r="AN21" i="2"/>
  <c r="AO24" i="2"/>
  <c r="AN24" i="2"/>
  <c r="AO8" i="2"/>
  <c r="AN8" i="2"/>
  <c r="AN18" i="2"/>
  <c r="AO18" i="2"/>
  <c r="AO23" i="2"/>
  <c r="AN23" i="2"/>
  <c r="AO7" i="2"/>
  <c r="AN7" i="2"/>
  <c r="AN19" i="2"/>
  <c r="AO19" i="2"/>
  <c r="AO22" i="2"/>
  <c r="AN22" i="2"/>
  <c r="AO6" i="2"/>
  <c r="AN6" i="2"/>
  <c r="AM26" i="2"/>
  <c r="AM10" i="2"/>
  <c r="AM21" i="2"/>
  <c r="AM5" i="2"/>
  <c r="AM20" i="2"/>
  <c r="AM11" i="2"/>
  <c r="AM17" i="2"/>
  <c r="AM16" i="2"/>
  <c r="AM15" i="2"/>
  <c r="AM19" i="2"/>
  <c r="AM18" i="2"/>
  <c r="AM14" i="2"/>
  <c r="AM13" i="2"/>
  <c r="AM28" i="2"/>
  <c r="AM12" i="2"/>
  <c r="AM25" i="2"/>
  <c r="AM24" i="2"/>
  <c r="AM23" i="2"/>
  <c r="AM27" i="2"/>
  <c r="AM9" i="2"/>
  <c r="AM8" i="2"/>
  <c r="AM7" i="2"/>
  <c r="AM22" i="2"/>
  <c r="AM6" i="2"/>
  <c r="F7" i="1" l="1"/>
  <c r="G7" i="1"/>
  <c r="H7" i="1"/>
  <c r="I7" i="1"/>
  <c r="E7" i="1"/>
  <c r="J7" i="1"/>
  <c r="D28" i="1"/>
  <c r="F6" i="1" l="1"/>
  <c r="E6" i="1" l="1"/>
  <c r="M2" i="1" l="1"/>
  <c r="G6" i="1"/>
  <c r="H6" i="1"/>
  <c r="I6" i="1"/>
  <c r="J6" i="1"/>
  <c r="M6" i="1" l="1"/>
  <c r="M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Simula</author>
    <author>Andrea Chiocca</author>
  </authors>
  <commentList>
    <comment ref="K1" authorId="0" shapeId="0" xr:uid="{6F04C3C2-FECD-4FFF-AA88-91952C0B68F1}">
      <text>
        <r>
          <rPr>
            <b/>
            <sz val="14"/>
            <color indexed="81"/>
            <rFont val="Tahoma"/>
            <family val="2"/>
          </rPr>
          <t>Simula:</t>
        </r>
        <r>
          <rPr>
            <sz val="14"/>
            <color indexed="81"/>
            <rFont val="Tahoma"/>
            <family val="2"/>
          </rPr>
          <t xml:space="preserve">
long side</t>
        </r>
      </text>
    </comment>
    <comment ref="L1" authorId="0" shapeId="0" xr:uid="{66E3A68F-8EB9-44F9-874B-239CE193C68B}">
      <text>
        <r>
          <rPr>
            <b/>
            <sz val="14"/>
            <color indexed="81"/>
            <rFont val="Tahoma"/>
            <family val="2"/>
          </rPr>
          <t>Simula:</t>
        </r>
        <r>
          <rPr>
            <sz val="14"/>
            <color indexed="81"/>
            <rFont val="Tahoma"/>
            <family val="2"/>
          </rPr>
          <t xml:space="preserve">
short side</t>
        </r>
      </text>
    </comment>
    <comment ref="O1" authorId="1" shapeId="0" xr:uid="{1CC4F29A-57B3-44F7-965B-DA237098AC81}">
      <text>
        <r>
          <rPr>
            <b/>
            <sz val="14"/>
            <color rgb="FF000000"/>
            <rFont val="Tahoma"/>
            <family val="2"/>
          </rPr>
          <t>Net</t>
        </r>
        <r>
          <rPr>
            <sz val="14"/>
            <color rgb="FF000000"/>
            <rFont val="Tahoma"/>
            <family val="2"/>
          </rPr>
          <t xml:space="preserve"> or </t>
        </r>
        <r>
          <rPr>
            <b/>
            <sz val="14"/>
            <color rgb="FF000000"/>
            <rFont val="Tahoma"/>
            <family val="2"/>
          </rPr>
          <t>gross</t>
        </r>
        <r>
          <rPr>
            <sz val="14"/>
            <color rgb="FF000000"/>
            <rFont val="Tahoma"/>
            <family val="2"/>
          </rPr>
          <t xml:space="preserve"> area depending on what the author used to evaluate the nominal stresses</t>
        </r>
      </text>
    </comment>
    <comment ref="P1" authorId="0" shapeId="0" xr:uid="{679AC68E-6E1E-49D7-95C8-CB4738B37734}">
      <text>
        <r>
          <rPr>
            <b/>
            <sz val="14"/>
            <color indexed="81"/>
            <rFont val="Tahoma"/>
            <family val="2"/>
          </rPr>
          <t>Simula:</t>
        </r>
        <r>
          <rPr>
            <sz val="14"/>
            <color indexed="81"/>
            <rFont val="Tahoma"/>
            <family val="2"/>
          </rPr>
          <t xml:space="preserve">
if Flat with neutral-axis bending // along the long sideo</t>
        </r>
      </text>
    </comment>
    <comment ref="AB1" authorId="0" shapeId="0" xr:uid="{F0DA867F-3D3D-465D-BB43-47CFC5DF21E7}">
      <text>
        <r>
          <rPr>
            <b/>
            <sz val="9"/>
            <color indexed="81"/>
            <rFont val="Tahoma"/>
            <family val="2"/>
          </rPr>
          <t>Simula: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>It is hypothesized that the radial stress (second axial stress) can be generated solely by internal pressure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8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</futureMetadata>
  <valueMetadata count="8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</valueMetadata>
</metadata>
</file>

<file path=xl/sharedStrings.xml><?xml version="1.0" encoding="utf-8"?>
<sst xmlns="http://schemas.openxmlformats.org/spreadsheetml/2006/main" count="933" uniqueCount="161">
  <si>
    <t>Material name</t>
  </si>
  <si>
    <t>Poisson's ratio (-)</t>
  </si>
  <si>
    <t>Tensile strength (MPa)</t>
  </si>
  <si>
    <t>Yield strength (MPa)</t>
  </si>
  <si>
    <t>K</t>
  </si>
  <si>
    <t>Number of cycles to failure</t>
  </si>
  <si>
    <t>Run out (Yes/No)</t>
  </si>
  <si>
    <t>Mean RADIAL stress  (MPa)</t>
  </si>
  <si>
    <t>Amplitute RADIAL stress  (MPa)</t>
  </si>
  <si>
    <t>Mean SHEAR stress  (MPa)</t>
  </si>
  <si>
    <t>Amplitute SHEAR stress  (MPa)</t>
  </si>
  <si>
    <t>Amplitude TORQUE (Nmm)</t>
  </si>
  <si>
    <t>Mean TORQUE (Nmm)</t>
  </si>
  <si>
    <t>Lambda (tauA/sigmaA)</t>
  </si>
  <si>
    <t>Load ratio (RADIAL)</t>
  </si>
  <si>
    <t>Load ratio (TORSIONAL)</t>
  </si>
  <si>
    <t>Geometry picture</t>
  </si>
  <si>
    <t>Diameter (mm)</t>
  </si>
  <si>
    <t>Failure type (complete rupture/stiffness decrease)</t>
  </si>
  <si>
    <t>Specimen name</t>
  </si>
  <si>
    <t>No</t>
  </si>
  <si>
    <t>Null</t>
  </si>
  <si>
    <t>Young's modulus (MPa)</t>
  </si>
  <si>
    <t>Standard deviation</t>
  </si>
  <si>
    <t>Average</t>
  </si>
  <si>
    <t>Article year</t>
  </si>
  <si>
    <t>Authors</t>
  </si>
  <si>
    <t>cylindrical</t>
  </si>
  <si>
    <t>Notched</t>
  </si>
  <si>
    <t>LEGEND:</t>
  </si>
  <si>
    <r>
      <rPr>
        <b/>
        <u/>
        <sz val="11"/>
        <color theme="0"/>
        <rFont val="Calibri"/>
        <family val="2"/>
        <scheme val="minor"/>
      </rPr>
      <t>INPUT</t>
    </r>
    <r>
      <rPr>
        <b/>
        <sz val="11"/>
        <color theme="0"/>
        <rFont val="Calibri"/>
        <family val="2"/>
        <scheme val="minor"/>
      </rPr>
      <t xml:space="preserve"> to be inserted by the user</t>
    </r>
  </si>
  <si>
    <r>
      <rPr>
        <b/>
        <u/>
        <sz val="11"/>
        <color theme="0"/>
        <rFont val="Calibri"/>
        <family val="2"/>
        <scheme val="minor"/>
      </rPr>
      <t>OUTPUT</t>
    </r>
    <r>
      <rPr>
        <b/>
        <sz val="11"/>
        <color theme="0"/>
        <rFont val="Calibri"/>
        <family val="2"/>
        <scheme val="minor"/>
      </rPr>
      <t xml:space="preserve"> automatically provided by the excel table</t>
    </r>
  </si>
  <si>
    <t>Yes</t>
  </si>
  <si>
    <t>Area (mm^2)</t>
  </si>
  <si>
    <t>Data count</t>
  </si>
  <si>
    <t>Mean BENDING moment (Nmm)</t>
  </si>
  <si>
    <t>Amplitude BENDING moment (Nmm)</t>
  </si>
  <si>
    <t>Number of Cycles (cycles)</t>
  </si>
  <si>
    <t>Stress ratio R</t>
  </si>
  <si>
    <t>Tensile fatigue limit (MPa)</t>
  </si>
  <si>
    <t>Torsional fatigue limit (MPa)</t>
  </si>
  <si>
    <t>A (mm)</t>
  </si>
  <si>
    <t>B (mm)</t>
  </si>
  <si>
    <t>Hole diameter (mm)</t>
  </si>
  <si>
    <t>Geometry type (flat/cylindrical/hollow cylinder)</t>
  </si>
  <si>
    <t>Phase RADIAL load (°)</t>
  </si>
  <si>
    <t>Phase AXIAL load (°)</t>
  </si>
  <si>
    <t>Phase TORSIONAL load (°)</t>
  </si>
  <si>
    <t>Freq RADIAL load [Hz]</t>
  </si>
  <si>
    <t>Freq AXIAL load[Hz]</t>
  </si>
  <si>
    <t>Freq TORSIONAL load [Hz]</t>
  </si>
  <si>
    <t>Load ratio (AXIAL)</t>
  </si>
  <si>
    <t>Mean AXIAL stress  (MPa)</t>
  </si>
  <si>
    <t>Amplitute AXIAL stress  (MPa)</t>
  </si>
  <si>
    <t>Mean internal PRESSURE  (MPa)</t>
  </si>
  <si>
    <t>Amplitute internal PRESSURE (MPa)</t>
  </si>
  <si>
    <t>derived from (AXIAL/BENDING) load</t>
  </si>
  <si>
    <t>Mean AXIAL load (N)</t>
  </si>
  <si>
    <t>AXIAL</t>
  </si>
  <si>
    <t>Article DOI / Reference</t>
  </si>
  <si>
    <t>Amplitude von Mises (MPa)</t>
  </si>
  <si>
    <t>Amplitute AXIAL load (N)</t>
  </si>
  <si>
    <t>Janssens</t>
  </si>
  <si>
    <t>10.1016/j.ijfatigue.2017.12.013</t>
  </si>
  <si>
    <t>Uniaxial_1</t>
  </si>
  <si>
    <t>stiffness decrease</t>
  </si>
  <si>
    <t>Uniaxial_2</t>
  </si>
  <si>
    <t>Uniaxial_3</t>
  </si>
  <si>
    <t>Uniaxial_4</t>
  </si>
  <si>
    <t>Uniaxial_5</t>
  </si>
  <si>
    <t>Uniaxial_6</t>
  </si>
  <si>
    <t>Uniaxial_7</t>
  </si>
  <si>
    <t>Uniaxial_8</t>
  </si>
  <si>
    <t>Uniaxial_9</t>
  </si>
  <si>
    <t>Torsional_1</t>
  </si>
  <si>
    <t>Torsional_2</t>
  </si>
  <si>
    <t>Torsional_3</t>
  </si>
  <si>
    <t>Torsional_4</t>
  </si>
  <si>
    <t>Torsional_5</t>
  </si>
  <si>
    <t>Torsional_6</t>
  </si>
  <si>
    <t>Torsional_7</t>
  </si>
  <si>
    <t>Non_prop_1</t>
  </si>
  <si>
    <t>Non_prop_2</t>
  </si>
  <si>
    <t>Non_prop_3</t>
  </si>
  <si>
    <t>Non_prop_4</t>
  </si>
  <si>
    <t>Non_prop_5</t>
  </si>
  <si>
    <t>Non_prop_6</t>
  </si>
  <si>
    <t>Non_prop_7</t>
  </si>
  <si>
    <t>Non_prop_8</t>
  </si>
  <si>
    <t>Non_prop_9</t>
  </si>
  <si>
    <t>Non_prop_10</t>
  </si>
  <si>
    <t>Non_prop_11</t>
  </si>
  <si>
    <t>hollow cylinder</t>
  </si>
  <si>
    <t>10.1016/j.matdes.2024.113122 
in high‐cycle multiaxial fatigue taking into account the
stress‐strain gradient. Int J Fatigue. 2006;28(5‐6):474‐484.</t>
  </si>
  <si>
    <t>Braun et al.</t>
  </si>
  <si>
    <t xml:space="preserve">10.1016/j.ijfatigue.2017.12.013 </t>
  </si>
  <si>
    <t>AISI 316L</t>
  </si>
  <si>
    <t xml:space="preserve">10.1016/j.matdes.2024.113122 </t>
  </si>
  <si>
    <t>V_notched_1</t>
  </si>
  <si>
    <t>complete rupture</t>
  </si>
  <si>
    <t>V_notched_2</t>
  </si>
  <si>
    <t>V_notched_3</t>
  </si>
  <si>
    <t>V_notched_4</t>
  </si>
  <si>
    <t>V_notched_5</t>
  </si>
  <si>
    <t>V_notched_6</t>
  </si>
  <si>
    <t>V_notched_7</t>
  </si>
  <si>
    <t>V_notched_8</t>
  </si>
  <si>
    <t>V_notched_9</t>
  </si>
  <si>
    <t>V_notched_10</t>
  </si>
  <si>
    <t>V_notched_11</t>
  </si>
  <si>
    <t>V_notched_12</t>
  </si>
  <si>
    <t>V_notched_13</t>
  </si>
  <si>
    <t>V_notched_14</t>
  </si>
  <si>
    <t>V_notched_15</t>
  </si>
  <si>
    <t>V_notched_16</t>
  </si>
  <si>
    <t>V_notched_17</t>
  </si>
  <si>
    <t>V_notched_18</t>
  </si>
  <si>
    <t>V_notched_19</t>
  </si>
  <si>
    <t>V_notched_20</t>
  </si>
  <si>
    <t>V_notched_21</t>
  </si>
  <si>
    <t>V_notched_22</t>
  </si>
  <si>
    <t>U_notched_1</t>
  </si>
  <si>
    <t>U_notched_2</t>
  </si>
  <si>
    <t>U_notched_3</t>
  </si>
  <si>
    <t>U_notched_4</t>
  </si>
  <si>
    <t>U_notched_5</t>
  </si>
  <si>
    <t>U_notched_6</t>
  </si>
  <si>
    <t>U_notched_7</t>
  </si>
  <si>
    <t>U_notched_8</t>
  </si>
  <si>
    <t>U_notched_9</t>
  </si>
  <si>
    <t>U_notched_10</t>
  </si>
  <si>
    <t>U_notched_11</t>
  </si>
  <si>
    <t>U_notched_12</t>
  </si>
  <si>
    <t>U_notched_13</t>
  </si>
  <si>
    <t>U_notched_14</t>
  </si>
  <si>
    <t>U_notched_15</t>
  </si>
  <si>
    <t>U_notched_16</t>
  </si>
  <si>
    <t>U_notched_17</t>
  </si>
  <si>
    <t>U_notched_18</t>
  </si>
  <si>
    <t>U_notched_19</t>
  </si>
  <si>
    <t>U_notched_20</t>
  </si>
  <si>
    <t>Plain_axial_1</t>
  </si>
  <si>
    <t>Plain_axial_2</t>
  </si>
  <si>
    <t>Plain_axial_3</t>
  </si>
  <si>
    <t>Plain_axial_4</t>
  </si>
  <si>
    <t>Plain_axial_5</t>
  </si>
  <si>
    <t>Plain_axial_6</t>
  </si>
  <si>
    <t>Plain_axial_7</t>
  </si>
  <si>
    <t>Plain_axial_8</t>
  </si>
  <si>
    <t>Plain_axial_9</t>
  </si>
  <si>
    <t>Plain_axial_10</t>
  </si>
  <si>
    <t>Plain_axial_11</t>
  </si>
  <si>
    <t>Plain_axial_12</t>
  </si>
  <si>
    <t>Plain_axial_13</t>
  </si>
  <si>
    <t>Plain_axial_14</t>
  </si>
  <si>
    <t>Plain_axial_15</t>
  </si>
  <si>
    <t>Plain_axial_16</t>
  </si>
  <si>
    <t>Plain_axial_17</t>
  </si>
  <si>
    <t>flat</t>
  </si>
  <si>
    <t>Bending moment of inertia (mm^4)</t>
  </si>
  <si>
    <t>Torsional moment of inertia (mm^4)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</si>
</sst>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u/>
      <sz val="11"/>
      <color theme="0"/>
      <name val="Calibri"/>
      <family val="2"/>
      <scheme val="minor"/>
    </font>
    <font>
      <b/>
      <sz val="9"/>
      <color indexed="81"/>
      <name val="Tahoma"/>
      <family val="2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color indexed="81"/>
      <name val="Tahoma"/>
      <family val="2"/>
    </font>
    <font>
      <sz val="14"/>
      <color indexed="81"/>
      <name val="Tahoma"/>
      <family val="2"/>
    </font>
    <font>
      <b/>
      <sz val="14"/>
      <color rgb="FF000000"/>
      <name val="Tahoma"/>
      <family val="2"/>
    </font>
    <font>
      <sz val="14"/>
      <color rgb="FF000000"/>
      <name val="Tahoma"/>
      <family val="2"/>
    </font>
  </fonts>
  <fills count="1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42A2A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12" xfId="0" applyBorder="1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11" fontId="0" fillId="0" borderId="12" xfId="0" applyNumberFormat="1" applyBorder="1" applyAlignment="1">
      <alignment horizontal="center" vertical="center"/>
    </xf>
    <xf numFmtId="11" fontId="0" fillId="0" borderId="5" xfId="0" applyNumberFormat="1" applyBorder="1" applyAlignment="1">
      <alignment horizontal="center" vertical="center"/>
    </xf>
    <xf numFmtId="0" fontId="0" fillId="0" borderId="0" xfId="0" applyAlignment="1">
      <alignment horizontal="center" vertical="top" wrapText="1"/>
    </xf>
    <xf numFmtId="2" fontId="0" fillId="0" borderId="0" xfId="0" applyNumberFormat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1" fontId="0" fillId="0" borderId="13" xfId="0" applyNumberFormat="1" applyBorder="1" applyAlignment="1">
      <alignment horizontal="center" vertical="center"/>
    </xf>
    <xf numFmtId="164" fontId="0" fillId="0" borderId="13" xfId="0" applyNumberFormat="1" applyBorder="1" applyAlignment="1">
      <alignment horizontal="center" vertical="center"/>
    </xf>
    <xf numFmtId="2" fontId="0" fillId="0" borderId="13" xfId="0" applyNumberForma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64" fontId="0" fillId="0" borderId="14" xfId="0" applyNumberFormat="1" applyBorder="1" applyAlignment="1">
      <alignment horizontal="center" vertical="center"/>
    </xf>
    <xf numFmtId="1" fontId="0" fillId="0" borderId="14" xfId="0" applyNumberFormat="1" applyBorder="1" applyAlignment="1">
      <alignment horizontal="center" vertical="center"/>
    </xf>
    <xf numFmtId="0" fontId="0" fillId="2" borderId="14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6" borderId="0" xfId="0" applyFill="1" applyAlignment="1">
      <alignment horizontal="center" vertical="center" wrapText="1"/>
    </xf>
    <xf numFmtId="0" fontId="7" fillId="5" borderId="14" xfId="0" applyFont="1" applyFill="1" applyBorder="1" applyAlignment="1">
      <alignment horizontal="center" vertical="center" wrapText="1"/>
    </xf>
    <xf numFmtId="0" fontId="7" fillId="4" borderId="0" xfId="0" applyFont="1" applyFill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49" fontId="0" fillId="0" borderId="13" xfId="0" applyNumberFormat="1" applyBorder="1" applyAlignment="1">
      <alignment horizontal="center" vertical="center"/>
    </xf>
    <xf numFmtId="0" fontId="0" fillId="8" borderId="0" xfId="0" applyFill="1" applyAlignment="1">
      <alignment horizontal="center" vertical="center" wrapText="1"/>
    </xf>
    <xf numFmtId="1" fontId="0" fillId="0" borderId="15" xfId="0" applyNumberFormat="1" applyBorder="1" applyAlignment="1">
      <alignment horizontal="center" vertical="center"/>
    </xf>
    <xf numFmtId="0" fontId="8" fillId="4" borderId="0" xfId="0" applyFont="1" applyFill="1" applyAlignment="1">
      <alignment horizontal="center" vertical="center" wrapText="1"/>
    </xf>
    <xf numFmtId="0" fontId="7" fillId="5" borderId="0" xfId="0" applyFont="1" applyFill="1" applyAlignment="1">
      <alignment horizontal="center" vertical="center" wrapText="1"/>
    </xf>
    <xf numFmtId="0" fontId="0" fillId="9" borderId="14" xfId="0" applyFill="1" applyBorder="1" applyAlignment="1">
      <alignment horizontal="center" vertical="center" wrapText="1"/>
    </xf>
    <xf numFmtId="164" fontId="0" fillId="0" borderId="15" xfId="0" applyNumberFormat="1" applyBorder="1" applyAlignment="1">
      <alignment horizontal="center" vertical="center"/>
    </xf>
    <xf numFmtId="2" fontId="0" fillId="0" borderId="16" xfId="0" applyNumberFormat="1" applyBorder="1" applyAlignment="1">
      <alignment horizontal="center" vertical="center"/>
    </xf>
    <xf numFmtId="2" fontId="0" fillId="0" borderId="17" xfId="0" applyNumberFormat="1" applyBorder="1" applyAlignment="1">
      <alignment horizontal="center" vertical="center"/>
    </xf>
    <xf numFmtId="164" fontId="0" fillId="9" borderId="0" xfId="0" applyNumberFormat="1" applyFill="1" applyAlignment="1">
      <alignment horizontal="center" vertical="center" wrapText="1"/>
    </xf>
    <xf numFmtId="2" fontId="0" fillId="2" borderId="0" xfId="0" applyNumberFormat="1" applyFill="1" applyAlignment="1">
      <alignment horizontal="center" vertical="center" wrapText="1"/>
    </xf>
    <xf numFmtId="164" fontId="7" fillId="10" borderId="0" xfId="0" applyNumberFormat="1" applyFont="1" applyFill="1" applyAlignment="1">
      <alignment horizontal="center" vertical="center" wrapText="1"/>
    </xf>
    <xf numFmtId="49" fontId="7" fillId="11" borderId="0" xfId="0" applyNumberFormat="1" applyFont="1" applyFill="1" applyAlignment="1">
      <alignment horizontal="center" vertical="center" wrapText="1"/>
    </xf>
    <xf numFmtId="164" fontId="7" fillId="12" borderId="0" xfId="0" applyNumberFormat="1" applyFont="1" applyFill="1" applyAlignment="1">
      <alignment horizontal="center" vertical="center" wrapText="1"/>
    </xf>
    <xf numFmtId="164" fontId="7" fillId="7" borderId="0" xfId="0" applyNumberFormat="1" applyFont="1" applyFill="1" applyAlignment="1">
      <alignment horizontal="center" vertical="center" wrapText="1"/>
    </xf>
    <xf numFmtId="164" fontId="0" fillId="0" borderId="18" xfId="0" applyNumberFormat="1" applyBorder="1" applyAlignment="1">
      <alignment horizontal="center" vertical="center"/>
    </xf>
    <xf numFmtId="1" fontId="8" fillId="13" borderId="0" xfId="0" applyNumberFormat="1" applyFont="1" applyFill="1" applyAlignment="1">
      <alignment horizontal="center" vertical="center" wrapText="1"/>
    </xf>
    <xf numFmtId="164" fontId="0" fillId="0" borderId="19" xfId="0" applyNumberFormat="1" applyBorder="1" applyAlignment="1">
      <alignment horizontal="center" vertical="center"/>
    </xf>
    <xf numFmtId="164" fontId="7" fillId="7" borderId="14" xfId="0" applyNumberFormat="1" applyFont="1" applyFill="1" applyBorder="1" applyAlignment="1">
      <alignment horizontal="center" vertical="center" wrapText="1"/>
    </xf>
    <xf numFmtId="164" fontId="0" fillId="0" borderId="18" xfId="0" applyNumberFormat="1" applyBorder="1" applyAlignment="1">
      <alignment horizontal="center" vertical="center" wrapText="1"/>
    </xf>
    <xf numFmtId="2" fontId="0" fillId="0" borderId="14" xfId="0" applyNumberForma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2" fontId="0" fillId="0" borderId="15" xfId="0" applyNumberFormat="1" applyBorder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2" fontId="0" fillId="0" borderId="16" xfId="0" applyNumberForma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</cellXfs>
  <cellStyles count="1">
    <cellStyle name="Normal" xfId="0" builtinId="0"/>
  </cellStyles>
  <dxfs count="60">
    <dxf>
      <numFmt numFmtId="2" formatCode="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5" formatCode="0.00E+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i val="0"/>
      </font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vertical/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vertical/>
      </border>
    </dxf>
    <dxf>
      <numFmt numFmtId="164" formatCode="0.0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vertical/>
      </border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indent="0" justifyLastLine="0" shrinkToFit="0" readingOrder="0"/>
      <border outline="0">
        <left style="thin">
          <color indexed="64"/>
        </left>
        <right/>
      </border>
    </dxf>
    <dxf>
      <numFmt numFmtId="164" formatCode="0.0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numFmt numFmtId="164" formatCode="0.0"/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0" formatCode="@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indent="0" justifyLastLine="0" shrinkToFit="0" readingOrder="0"/>
      <border diagonalUp="0" diagonalDown="0">
        <left style="thin">
          <color indexed="64"/>
        </left>
        <right/>
        <vertical/>
      </border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vertical/>
      </border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vertical/>
      </border>
    </dxf>
    <dxf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F42A2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Summary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Dataset!$E$2:$E$87</c:f>
              <c:numCache>
                <c:formatCode>0</c:formatCode>
                <c:ptCount val="86"/>
                <c:pt idx="0">
                  <c:v>17225000</c:v>
                </c:pt>
                <c:pt idx="1">
                  <c:v>2474000</c:v>
                </c:pt>
                <c:pt idx="2">
                  <c:v>206000</c:v>
                </c:pt>
                <c:pt idx="3">
                  <c:v>11000000</c:v>
                </c:pt>
                <c:pt idx="4">
                  <c:v>116000</c:v>
                </c:pt>
                <c:pt idx="5">
                  <c:v>158000</c:v>
                </c:pt>
                <c:pt idx="6">
                  <c:v>11000000</c:v>
                </c:pt>
                <c:pt idx="7">
                  <c:v>638000</c:v>
                </c:pt>
                <c:pt idx="8">
                  <c:v>509000</c:v>
                </c:pt>
                <c:pt idx="9">
                  <c:v>11000000</c:v>
                </c:pt>
                <c:pt idx="10">
                  <c:v>11000000</c:v>
                </c:pt>
                <c:pt idx="11">
                  <c:v>445000</c:v>
                </c:pt>
                <c:pt idx="12">
                  <c:v>2165000</c:v>
                </c:pt>
                <c:pt idx="13">
                  <c:v>849000</c:v>
                </c:pt>
                <c:pt idx="14">
                  <c:v>474000</c:v>
                </c:pt>
                <c:pt idx="15">
                  <c:v>198000</c:v>
                </c:pt>
                <c:pt idx="16">
                  <c:v>11000000</c:v>
                </c:pt>
                <c:pt idx="17">
                  <c:v>11000000</c:v>
                </c:pt>
                <c:pt idx="18">
                  <c:v>11000000</c:v>
                </c:pt>
                <c:pt idx="19">
                  <c:v>194000</c:v>
                </c:pt>
                <c:pt idx="20">
                  <c:v>11000000</c:v>
                </c:pt>
                <c:pt idx="21">
                  <c:v>1458000</c:v>
                </c:pt>
                <c:pt idx="22">
                  <c:v>11000000</c:v>
                </c:pt>
                <c:pt idx="23">
                  <c:v>431000</c:v>
                </c:pt>
                <c:pt idx="24">
                  <c:v>246000</c:v>
                </c:pt>
                <c:pt idx="25">
                  <c:v>102000</c:v>
                </c:pt>
                <c:pt idx="26">
                  <c:v>116000</c:v>
                </c:pt>
                <c:pt idx="27">
                  <c:v>38505</c:v>
                </c:pt>
                <c:pt idx="28">
                  <c:v>89454</c:v>
                </c:pt>
                <c:pt idx="29">
                  <c:v>201484</c:v>
                </c:pt>
                <c:pt idx="30">
                  <c:v>247818</c:v>
                </c:pt>
                <c:pt idx="31">
                  <c:v>261733</c:v>
                </c:pt>
                <c:pt idx="32">
                  <c:v>347141</c:v>
                </c:pt>
                <c:pt idx="33">
                  <c:v>347221</c:v>
                </c:pt>
                <c:pt idx="34">
                  <c:v>369481</c:v>
                </c:pt>
                <c:pt idx="35">
                  <c:v>436200</c:v>
                </c:pt>
                <c:pt idx="36">
                  <c:v>515532</c:v>
                </c:pt>
                <c:pt idx="37">
                  <c:v>516299</c:v>
                </c:pt>
                <c:pt idx="38">
                  <c:v>603574</c:v>
                </c:pt>
                <c:pt idx="39">
                  <c:v>754651</c:v>
                </c:pt>
                <c:pt idx="40">
                  <c:v>1031849</c:v>
                </c:pt>
                <c:pt idx="41">
                  <c:v>2063734</c:v>
                </c:pt>
                <c:pt idx="42">
                  <c:v>2591273</c:v>
                </c:pt>
                <c:pt idx="43">
                  <c:v>2673283</c:v>
                </c:pt>
                <c:pt idx="44">
                  <c:v>2700129</c:v>
                </c:pt>
                <c:pt idx="45">
                  <c:v>2770129</c:v>
                </c:pt>
                <c:pt idx="46">
                  <c:v>10000000</c:v>
                </c:pt>
                <c:pt idx="47">
                  <c:v>10000000</c:v>
                </c:pt>
                <c:pt idx="48">
                  <c:v>10248220</c:v>
                </c:pt>
                <c:pt idx="49">
                  <c:v>91731</c:v>
                </c:pt>
                <c:pt idx="50">
                  <c:v>98171</c:v>
                </c:pt>
                <c:pt idx="51">
                  <c:v>111717</c:v>
                </c:pt>
                <c:pt idx="52">
                  <c:v>129814</c:v>
                </c:pt>
                <c:pt idx="53">
                  <c:v>220373</c:v>
                </c:pt>
                <c:pt idx="54">
                  <c:v>223607</c:v>
                </c:pt>
                <c:pt idx="55">
                  <c:v>249456</c:v>
                </c:pt>
                <c:pt idx="56">
                  <c:v>283473</c:v>
                </c:pt>
                <c:pt idx="57">
                  <c:v>337118</c:v>
                </c:pt>
                <c:pt idx="58">
                  <c:v>347909</c:v>
                </c:pt>
                <c:pt idx="59">
                  <c:v>415552</c:v>
                </c:pt>
                <c:pt idx="60">
                  <c:v>424117</c:v>
                </c:pt>
                <c:pt idx="61">
                  <c:v>660562</c:v>
                </c:pt>
                <c:pt idx="62">
                  <c:v>2134445</c:v>
                </c:pt>
                <c:pt idx="63">
                  <c:v>2366590</c:v>
                </c:pt>
                <c:pt idx="64">
                  <c:v>2400000</c:v>
                </c:pt>
                <c:pt idx="65">
                  <c:v>2596329</c:v>
                </c:pt>
                <c:pt idx="66">
                  <c:v>2676338</c:v>
                </c:pt>
                <c:pt idx="67">
                  <c:v>3456187</c:v>
                </c:pt>
                <c:pt idx="68">
                  <c:v>3955089</c:v>
                </c:pt>
                <c:pt idx="69">
                  <c:v>69975.614335337901</c:v>
                </c:pt>
                <c:pt idx="70">
                  <c:v>98291.938165044907</c:v>
                </c:pt>
                <c:pt idx="71">
                  <c:v>115022.54352295501</c:v>
                </c:pt>
                <c:pt idx="72">
                  <c:v>138119.68453642901</c:v>
                </c:pt>
                <c:pt idx="73">
                  <c:v>159528.700623432</c:v>
                </c:pt>
                <c:pt idx="74">
                  <c:v>184229.698075472</c:v>
                </c:pt>
                <c:pt idx="75">
                  <c:v>172522.795562466</c:v>
                </c:pt>
                <c:pt idx="76">
                  <c:v>221118.01442486999</c:v>
                </c:pt>
                <c:pt idx="77">
                  <c:v>262112.51782478701</c:v>
                </c:pt>
                <c:pt idx="78">
                  <c:v>242231.351892637</c:v>
                </c:pt>
                <c:pt idx="79">
                  <c:v>448190.98851836799</c:v>
                </c:pt>
                <c:pt idx="80">
                  <c:v>589889.81233492901</c:v>
                </c:pt>
                <c:pt idx="81">
                  <c:v>613487.81895109196</c:v>
                </c:pt>
                <c:pt idx="82">
                  <c:v>1513696.1672995901</c:v>
                </c:pt>
                <c:pt idx="83">
                  <c:v>10083492.331762001</c:v>
                </c:pt>
                <c:pt idx="84">
                  <c:v>10080834.9325461</c:v>
                </c:pt>
                <c:pt idx="85">
                  <c:v>9947900.5566510092</c:v>
                </c:pt>
              </c:numCache>
            </c:numRef>
          </c:xVal>
          <c:yVal>
            <c:numRef>
              <c:f>Dataset!$AQ$2:$AQ$87</c:f>
              <c:numCache>
                <c:formatCode>0.00</c:formatCode>
                <c:ptCount val="86"/>
                <c:pt idx="0">
                  <c:v>265.8</c:v>
                </c:pt>
                <c:pt idx="1">
                  <c:v>271.60000000000002</c:v>
                </c:pt>
                <c:pt idx="2">
                  <c:v>271.60000000000002</c:v>
                </c:pt>
                <c:pt idx="3">
                  <c:v>271.60000000000002</c:v>
                </c:pt>
                <c:pt idx="4">
                  <c:v>277.39999999999998</c:v>
                </c:pt>
                <c:pt idx="5">
                  <c:v>277.39999999999998</c:v>
                </c:pt>
                <c:pt idx="6">
                  <c:v>277.39999999999998</c:v>
                </c:pt>
                <c:pt idx="7">
                  <c:v>283.2</c:v>
                </c:pt>
                <c:pt idx="8">
                  <c:v>289</c:v>
                </c:pt>
                <c:pt idx="9">
                  <c:v>240.06224192904639</c:v>
                </c:pt>
                <c:pt idx="10">
                  <c:v>249.93493153218898</c:v>
                </c:pt>
                <c:pt idx="11">
                  <c:v>249.93493153218898</c:v>
                </c:pt>
                <c:pt idx="12">
                  <c:v>249.93493153218898</c:v>
                </c:pt>
                <c:pt idx="13">
                  <c:v>254.95787887413871</c:v>
                </c:pt>
                <c:pt idx="14">
                  <c:v>259.98082621608847</c:v>
                </c:pt>
                <c:pt idx="15">
                  <c:v>265.00377355803823</c:v>
                </c:pt>
                <c:pt idx="16">
                  <c:v>259.35922964105208</c:v>
                </c:pt>
                <c:pt idx="17">
                  <c:v>280.94106143460056</c:v>
                </c:pt>
                <c:pt idx="18">
                  <c:v>291.71300965160947</c:v>
                </c:pt>
                <c:pt idx="19">
                  <c:v>302.56058897351454</c:v>
                </c:pt>
                <c:pt idx="20">
                  <c:v>313.33255496357225</c:v>
                </c:pt>
                <c:pt idx="21">
                  <c:v>320.89189768518617</c:v>
                </c:pt>
                <c:pt idx="22">
                  <c:v>324.18013511009582</c:v>
                </c:pt>
                <c:pt idx="23">
                  <c:v>328.56457508380294</c:v>
                </c:pt>
                <c:pt idx="24">
                  <c:v>335.10332734844633</c:v>
                </c:pt>
                <c:pt idx="25">
                  <c:v>336.23725254647201</c:v>
                </c:pt>
                <c:pt idx="26">
                  <c:v>345.950906921777</c:v>
                </c:pt>
                <c:pt idx="27">
                  <c:v>140</c:v>
                </c:pt>
                <c:pt idx="28">
                  <c:v>125</c:v>
                </c:pt>
                <c:pt idx="29">
                  <c:v>108.5</c:v>
                </c:pt>
                <c:pt idx="30">
                  <c:v>120</c:v>
                </c:pt>
                <c:pt idx="31">
                  <c:v>108.5</c:v>
                </c:pt>
                <c:pt idx="32">
                  <c:v>100</c:v>
                </c:pt>
                <c:pt idx="33">
                  <c:v>104</c:v>
                </c:pt>
                <c:pt idx="34">
                  <c:v>100</c:v>
                </c:pt>
                <c:pt idx="35">
                  <c:v>95</c:v>
                </c:pt>
                <c:pt idx="36">
                  <c:v>96</c:v>
                </c:pt>
                <c:pt idx="37">
                  <c:v>94</c:v>
                </c:pt>
                <c:pt idx="38">
                  <c:v>90</c:v>
                </c:pt>
                <c:pt idx="39">
                  <c:v>100</c:v>
                </c:pt>
                <c:pt idx="40">
                  <c:v>103</c:v>
                </c:pt>
                <c:pt idx="41">
                  <c:v>91.5</c:v>
                </c:pt>
                <c:pt idx="42">
                  <c:v>91.5</c:v>
                </c:pt>
                <c:pt idx="43">
                  <c:v>95</c:v>
                </c:pt>
                <c:pt idx="44">
                  <c:v>85</c:v>
                </c:pt>
                <c:pt idx="45">
                  <c:v>90</c:v>
                </c:pt>
                <c:pt idx="46">
                  <c:v>96</c:v>
                </c:pt>
                <c:pt idx="47">
                  <c:v>95</c:v>
                </c:pt>
                <c:pt idx="48">
                  <c:v>90</c:v>
                </c:pt>
                <c:pt idx="49">
                  <c:v>158.5</c:v>
                </c:pt>
                <c:pt idx="50">
                  <c:v>158.5</c:v>
                </c:pt>
                <c:pt idx="51">
                  <c:v>150</c:v>
                </c:pt>
                <c:pt idx="52">
                  <c:v>153</c:v>
                </c:pt>
                <c:pt idx="53">
                  <c:v>146</c:v>
                </c:pt>
                <c:pt idx="54">
                  <c:v>146.5</c:v>
                </c:pt>
                <c:pt idx="55">
                  <c:v>137.5</c:v>
                </c:pt>
                <c:pt idx="56">
                  <c:v>133.5</c:v>
                </c:pt>
                <c:pt idx="57">
                  <c:v>141.5</c:v>
                </c:pt>
                <c:pt idx="58">
                  <c:v>144</c:v>
                </c:pt>
                <c:pt idx="59">
                  <c:v>125</c:v>
                </c:pt>
                <c:pt idx="60">
                  <c:v>150</c:v>
                </c:pt>
                <c:pt idx="61">
                  <c:v>129</c:v>
                </c:pt>
                <c:pt idx="62">
                  <c:v>121</c:v>
                </c:pt>
                <c:pt idx="63">
                  <c:v>137.5</c:v>
                </c:pt>
                <c:pt idx="64">
                  <c:v>133.5</c:v>
                </c:pt>
                <c:pt idx="65">
                  <c:v>129</c:v>
                </c:pt>
                <c:pt idx="66">
                  <c:v>125</c:v>
                </c:pt>
                <c:pt idx="67">
                  <c:v>125</c:v>
                </c:pt>
                <c:pt idx="68">
                  <c:v>137.5</c:v>
                </c:pt>
                <c:pt idx="69">
                  <c:v>255.717949373556</c:v>
                </c:pt>
                <c:pt idx="70">
                  <c:v>240.04280092058249</c:v>
                </c:pt>
                <c:pt idx="71">
                  <c:v>248.279407501717</c:v>
                </c:pt>
                <c:pt idx="72">
                  <c:v>241.05724428188401</c:v>
                </c:pt>
                <c:pt idx="73">
                  <c:v>249.32865953394651</c:v>
                </c:pt>
                <c:pt idx="74">
                  <c:v>251.4404850500205</c:v>
                </c:pt>
                <c:pt idx="75">
                  <c:v>241.05724428188401</c:v>
                </c:pt>
                <c:pt idx="76">
                  <c:v>224.38026487041699</c:v>
                </c:pt>
                <c:pt idx="77">
                  <c:v>224.38026487041699</c:v>
                </c:pt>
                <c:pt idx="78">
                  <c:v>209.739692547478</c:v>
                </c:pt>
                <c:pt idx="79">
                  <c:v>226.28077630597551</c:v>
                </c:pt>
                <c:pt idx="80">
                  <c:v>225.32851688727351</c:v>
                </c:pt>
                <c:pt idx="81">
                  <c:v>224.38026487041699</c:v>
                </c:pt>
                <c:pt idx="82">
                  <c:v>242.07597477585199</c:v>
                </c:pt>
                <c:pt idx="83">
                  <c:v>215.11447653364851</c:v>
                </c:pt>
                <c:pt idx="84">
                  <c:v>205.363434036618</c:v>
                </c:pt>
                <c:pt idx="85">
                  <c:v>198.550554026415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D58-439C-BD78-518C8A90A1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6816096"/>
        <c:axId val="406816456"/>
      </c:scatterChart>
      <c:valAx>
        <c:axId val="406816096"/>
        <c:scaling>
          <c:logBase val="10"/>
          <c:orientation val="minMax"/>
          <c:max val="2500000"/>
          <c:min val="100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Number</a:t>
                </a:r>
                <a:r>
                  <a:rPr lang="en-GB" baseline="0"/>
                  <a:t> of cycles to failure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6816456"/>
        <c:crosses val="autoZero"/>
        <c:crossBetween val="midCat"/>
      </c:valAx>
      <c:valAx>
        <c:axId val="406816456"/>
        <c:scaling>
          <c:logBase val="10"/>
          <c:orientation val="minMax"/>
          <c:max val="3000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Amplitude von MIses (MPa)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68160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26</xdr:row>
      <xdr:rowOff>0</xdr:rowOff>
    </xdr:from>
    <xdr:to>
      <xdr:col>2</xdr:col>
      <xdr:colOff>917865</xdr:colOff>
      <xdr:row>41</xdr:row>
      <xdr:rowOff>72390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660A1232-E067-4380-A306-8D17032AE7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8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B9CA7B-F9F7-4B65-BAF9-0554C4DD3A3C}" name="Tabella1" displayName="Tabella1" ref="A1:M5" totalsRowShown="0" headerRowDxfId="14" dataDxfId="13">
  <autoFilter ref="A1:M5" xr:uid="{7EB9CA7B-F9F7-4B65-BAF9-0554C4DD3A3C}"/>
  <tableColumns count="13">
    <tableColumn id="1" xr3:uid="{8E3D1E9D-FBEE-441F-8710-5037CD4F23F4}" name="Article DOI / Reference" dataDxfId="12"/>
    <tableColumn id="11" xr3:uid="{DB748F3A-E0FD-40A7-AD76-C03A14000D6D}" name="Authors" dataDxfId="11"/>
    <tableColumn id="8" xr3:uid="{5AA73CAD-51B7-41DD-94EB-F60F774B9687}" name="Article year" dataDxfId="10"/>
    <tableColumn id="2" xr3:uid="{06FA6682-59D0-409F-9A0C-E6CD1808F355}" name="Material name" dataDxfId="9"/>
    <tableColumn id="3" xr3:uid="{576FC30A-97BD-425F-92F2-9A2823474F7C}" name="Young's modulus (MPa)" dataDxfId="8"/>
    <tableColumn id="4" xr3:uid="{63CF6BC0-ABE3-408E-84A9-EDA0B421D7E2}" name="Poisson's ratio (-)" dataDxfId="7"/>
    <tableColumn id="5" xr3:uid="{BF08D467-4D62-4CAB-A94F-0030F94E8A2E}" name="Tensile strength (MPa)" dataDxfId="6"/>
    <tableColumn id="6" xr3:uid="{CDCD2563-ECD7-4843-B859-5F7762FE830B}" name="Yield strength (MPa)" dataDxfId="5"/>
    <tableColumn id="7" xr3:uid="{7991DD6F-6040-4C6F-AEB4-2211698F999C}" name="Tensile fatigue limit (MPa)" dataDxfId="4"/>
    <tableColumn id="9" xr3:uid="{C339353B-B530-41A6-97D0-BD9E3EFB3E1B}" name="Torsional fatigue limit (MPa)" dataDxfId="3">
      <calculatedColumnFormula>845/2</calculatedColumnFormula>
    </tableColumn>
    <tableColumn id="13" xr3:uid="{61EEDB63-8EB1-4E68-8C73-6F3D35C9EEF7}" name="Number of Cycles (cycles)" dataDxfId="2"/>
    <tableColumn id="12" xr3:uid="{5EB3D6EA-60A8-471D-AB0E-73C0B9E22DD2}" name="Stress ratio R" dataDxfId="1"/>
    <tableColumn id="10" xr3:uid="{EC242BA9-DE01-42A2-8C6C-75459CDE529E}" name="K" dataDxfId="0">
      <calculatedColumnFormula>IF(COUNTIF(Tabella1[[#This Row],[Tensile fatigue limit (MPa)]:[Torsional fatigue limit (MPa)]],"Null")&gt;0, "Null", IF(COUNT(Tabella1[[#This Row],[Tensile fatigue limit (MPa)]:[Torsional fatigue limit (MPa)]])=0, "Null", Tabella1[[#This Row],[Tensile fatigue limit (MPa)]]/Tabella1[[#This Row],[Torsional fatigue limit (MPa)]]))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6243907-AA5D-4F4D-8699-490D77B21127}" name="Tabella2" displayName="Tabella2" ref="A1:AQ87" totalsRowShown="0" headerRowDxfId="59" dataDxfId="58">
  <autoFilter ref="A1:AQ87" xr:uid="{86243907-AA5D-4F4D-8699-490D77B21127}"/>
  <tableColumns count="43">
    <tableColumn id="31" xr3:uid="{05937513-BC98-44D1-A5DC-F19589B15DDF}" name="Authors" dataDxfId="57"/>
    <tableColumn id="32" xr3:uid="{DCBCBA66-A67E-429B-A752-67A81643133E}" name="Article year" dataDxfId="56"/>
    <tableColumn id="1" xr3:uid="{D75788C8-C867-4D50-A818-DADFA5044830}" name="Article DOI / Reference" dataDxfId="55"/>
    <tableColumn id="30" xr3:uid="{FA5CACDD-A594-4207-9BA7-C7F165153D5B}" name="Specimen name" dataDxfId="54"/>
    <tableColumn id="2" xr3:uid="{19DD8629-B305-4804-A689-1057FBADF71C}" name="Number of cycles to failure" dataDxfId="53"/>
    <tableColumn id="4" xr3:uid="{27575528-FAA3-4B4C-8860-7A7CFCB79DBE}" name="Run out (Yes/No)" dataDxfId="52"/>
    <tableColumn id="3" xr3:uid="{0CF78E1F-0EC3-474A-B3FD-519C01702157}" name="Failure type (complete rupture/stiffness decrease)" dataDxfId="51"/>
    <tableColumn id="26" xr3:uid="{05D9D755-9B11-40C9-8DCB-B9E39E20FA04}" name="Geometry picture" dataDxfId="50"/>
    <tableColumn id="33" xr3:uid="{936299CD-E030-4427-B1AB-D5CB204A04BE}" name="Geometry type (flat/cylindrical/hollow cylinder)" dataDxfId="49"/>
    <tableColumn id="34" xr3:uid="{09266E8F-9B14-40D4-88AB-80CC92F93BA2}" name="Notched" dataDxfId="48"/>
    <tableColumn id="39" xr3:uid="{108E1228-D670-44CE-87DA-2A1B0D22E417}" name="A (mm)" dataDxfId="47"/>
    <tableColumn id="38" xr3:uid="{D6414C63-3F42-4BCA-BB3F-506FCA7B7866}" name="B (mm)" dataDxfId="46"/>
    <tableColumn id="37" xr3:uid="{8138AA3A-CE2D-441D-907D-E35AD875EC90}" name="Hole diameter (mm)" dataDxfId="45"/>
    <tableColumn id="27" xr3:uid="{D5A8CCC0-542A-450B-8F88-B47472F29E40}" name="Diameter (mm)" dataDxfId="44"/>
    <tableColumn id="28" xr3:uid="{36725B61-E4CB-4B7E-AF40-7F3BC6BE6CB3}" name="Area (mm^2)" dataDxfId="43">
      <calculatedColumnFormula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calculatedColumnFormula>
    </tableColumn>
    <tableColumn id="45" xr3:uid="{127345D3-F57D-4266-B1E4-4F059E8B31BE}" name="Bending moment of inertia (mm^4)" dataDxfId="42">
      <calculatedColumnFormula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calculatedColumnFormula>
    </tableColumn>
    <tableColumn id="29" xr3:uid="{ADA51E38-565E-4B07-AA7F-4531D7FB559A}" name="Torsional moment of inertia (mm^4)" dataDxfId="41">
      <calculatedColumnFormula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calculatedColumnFormula>
    </tableColumn>
    <tableColumn id="21" xr3:uid="{C8363B8B-B0C3-4670-AE9B-A3DF1F1D9748}" name="Phase RADIAL load (°)" dataDxfId="40"/>
    <tableColumn id="40" xr3:uid="{FF54B50E-D6C4-4EF8-BED6-8558889E32B3}" name="Phase AXIAL load (°)" dataDxfId="39"/>
    <tableColumn id="22" xr3:uid="{9A8358C3-645B-4F7B-A800-BF2013564F31}" name="Phase TORSIONAL load (°)" dataDxfId="38"/>
    <tableColumn id="43" xr3:uid="{32E76D00-2B52-4D17-881F-6CB825346CD9}" name="Freq RADIAL load [Hz]" dataDxfId="37"/>
    <tableColumn id="42" xr3:uid="{A0DFAB77-F821-4A7F-A0A1-75075998D45D}" name="Freq AXIAL load[Hz]" dataDxfId="36"/>
    <tableColumn id="41" xr3:uid="{DEC77E42-D985-463A-B500-A8E16CF67856}" name="Freq TORSIONAL load [Hz]" dataDxfId="35"/>
    <tableColumn id="23" xr3:uid="{9724DA05-688A-43E5-9AAC-5035994CD3C7}" name="Load ratio (RADIAL)" dataDxfId="34">
      <calculatedColumnFormula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calculatedColumnFormula>
    </tableColumn>
    <tableColumn id="24" xr3:uid="{5794A9BC-D825-4DEA-82F2-22B1FB825367}" name="Load ratio (AXIAL)" dataDxfId="33">
      <calculatedColumnFormula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calculatedColumnFormula>
    </tableColumn>
    <tableColumn id="25" xr3:uid="{A209A6A1-8B94-4DAE-9AD9-68A32BB08635}" name="Load ratio (TORSIONAL)" dataDxfId="32">
      <calculatedColumnFormula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calculatedColumnFormula>
    </tableColumn>
    <tableColumn id="15" xr3:uid="{79C3F669-131B-420A-8FF5-9D61125EAD7C}" name="Mean RADIAL stress  (MPa)" dataDxfId="31"/>
    <tableColumn id="6" xr3:uid="{CFA41242-20EF-4D5D-9025-FC3F232CBE04}" name="Amplitute RADIAL stress  (MPa)" dataDxfId="30"/>
    <tableColumn id="16" xr3:uid="{F37D511D-F078-4171-84FD-3AE13D4078DC}" name="Mean AXIAL stress  (MPa)" dataDxfId="29"/>
    <tableColumn id="8" xr3:uid="{933ACC34-FA80-47BE-87CF-5D7D742564A2}" name="Amplitute AXIAL stress  (MPa)" dataDxfId="28"/>
    <tableColumn id="44" xr3:uid="{460C3648-EA91-4BC9-8C0D-58B3E19E1ED3}" name="derived from (AXIAL/BENDING) load" dataDxfId="27"/>
    <tableColumn id="19" xr3:uid="{06584471-CEAD-405D-A12E-5A2E79E8CA33}" name="Mean SHEAR stress  (MPa)" dataDxfId="26"/>
    <tableColumn id="10" xr3:uid="{2FCDB52E-3BD8-4D04-8689-303C003D64AE}" name="Amplitute SHEAR stress  (MPa)" dataDxfId="25"/>
    <tableColumn id="36" xr3:uid="{EF2440ED-01F8-493F-BD7F-BDBCFC67F43F}" name="Mean internal PRESSURE  (MPa)" dataDxfId="24">
      <calculatedColumnFormula>IF(ISNUMBER(Tabella2[[#This Row],[Mean RADIAL stress  (MPa)]]), Tabella2[[#This Row],[Mean RADIAL stress  (MPa)]],"")</calculatedColumnFormula>
    </tableColumn>
    <tableColumn id="12" xr3:uid="{A3A206A7-7207-472E-A9D8-013B3CFCAFCB}" name="Amplitute internal PRESSURE (MPa)" dataDxfId="23">
      <calculatedColumnFormula>IF(ISNUMBER(Tabella2[[#This Row],[Amplitute RADIAL stress  (MPa)]]), Tabella2[[#This Row],[Amplitute RADIAL stress  (MPa)]],"")</calculatedColumnFormula>
    </tableColumn>
    <tableColumn id="47" xr3:uid="{2D0E8715-4DDF-44E6-8D9C-9880A8CC9001}" name="Mean AXIAL load (N)" dataDxfId="22">
      <calculatedColumnFormula>IF(ISNUMBER(Tabella2[[#This Row],[Mean AXIAL stress  (MPa)]]), IF(Tabella2[[#This Row],[derived from (AXIAL/BENDING) load]]="AXIAL",Tabella2[[#This Row],[Mean AXIAL stress  (MPa)]]*Tabella2[[#This Row],[Area (mm^2)]],"Null"), "")</calculatedColumnFormula>
    </tableColumn>
    <tableColumn id="46" xr3:uid="{74D06968-9F0E-4F66-B0FC-A6FDF325A23C}" name="Amplitute AXIAL load (N)" dataDxfId="21">
      <calculatedColumnFormula>IF(ISNUMBER(Tabella2[[#This Row],[Amplitute AXIAL stress  (MPa)]]),    IF(Tabella2[[#This Row],[derived from (AXIAL/BENDING) load]]="AXIAL",Tabella2[[#This Row],[Amplitute AXIAL stress  (MPa)]]*Tabella2[[#This Row],[Area (mm^2)]],"Null"), "")</calculatedColumnFormula>
    </tableColumn>
    <tableColumn id="14" xr3:uid="{B1691BE1-3E2F-4716-9F3A-1870C13BFA59}" name="Mean BENDING moment (Nmm)" dataDxfId="20">
      <calculatedColumnFormula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Row],[Bending moment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Row],[Bending moment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Row],[Bending moment of inertia (mm^4)]]/(Tabella2[[#This Row],[B (mm)]]*0.5),"Null"))),"")</calculatedColumnFormula>
    </tableColumn>
    <tableColumn id="48" xr3:uid="{879D775B-56C1-4C8B-B0F2-AB881BBC76CB}" name="Amplitude BENDING moment (Nmm)" dataDxfId="19">
      <calculatedColumnFormula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Row],[Bending moment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Row],[Bending moment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Row],[Bending moment of inertia (mm^4)]]/(Tabella2[[#This Row],[B (mm)]]*0.5),"Null"))), "")</calculatedColumnFormula>
    </tableColumn>
    <tableColumn id="17" xr3:uid="{B9FCDDAE-82CF-4FB8-907C-A1558D43EF84}" name="Mean TORQUE (Nmm)" dataDxfId="18">
      <calculatedColumnFormula>IF(ISNUMBER(Tabella2[[#This Row],[Mean SHEAR stress  (MPa)]]),  IF(AND(ISNUMBER(Tabella2[[#This Row],[Mean SHEAR stress  (MPa)]]), ISNUMBER(Tabella2[[#This Row],[Torsional moment of inertia (mm^4)]]), ISNUMBER(Tabella2[[#This Row],[Diameter (mm)]])), Tabella2[[#This Row],[Mean SHEAR stress  (MPa)]]*Tabella2[[#This Row],[Torsional moment of inertia (mm^4)]]/(0.5*Tabella2[[#This Row],[Diameter (mm)]]),"Null"), " ")</calculatedColumnFormula>
    </tableColumn>
    <tableColumn id="18" xr3:uid="{C66D42EC-66DD-4028-A153-9A90E5649F9D}" name="Amplitude TORQUE (Nmm)" dataDxfId="17">
      <calculatedColumnFormula>IF(ISNUMBER(Tabella2[[#This Row],[Amplitute SHEAR stress  (MPa)]]), IF(AND(ISNUMBER(Tabella2[[#This Row],[Amplitute SHEAR stress  (MPa)]]), ISNUMBER(Tabella2[[#This Row],[Torsional moment of inertia (mm^4)]]), ISNUMBER(Tabella2[[#This Row],[Diameter (mm)]])),Tabella2[[#This Row],[Amplitute SHEAR stress  (MPa)]]*Tabella2[[#This Row],[Torsional moment of inertia (mm^4)]]/(0.5*Tabella2[[#This Row],[Diameter (mm)]]),"Null"), "")</calculatedColumnFormula>
    </tableColumn>
    <tableColumn id="20" xr3:uid="{D27EA8AC-AA88-4708-8985-FCB1FE48E26F}" name="Lambda (tauA/sigmaA)" dataDxfId="16">
      <calculatedColumnFormula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calculatedColumnFormula>
    </tableColumn>
    <tableColumn id="13" xr3:uid="{202EB95B-F464-428F-A067-490417EBEC52}" name="Amplitude von Mises (MPa)" dataDxfId="15">
      <calculatedColumnFormula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8"/>
  <sheetViews>
    <sheetView topLeftCell="C1" zoomScaleNormal="100" workbookViewId="0">
      <selection activeCell="I6" sqref="I6"/>
    </sheetView>
  </sheetViews>
  <sheetFormatPr baseColWidth="10" defaultColWidth="8.83203125" defaultRowHeight="15" x14ac:dyDescent="0.2"/>
  <cols>
    <col min="1" max="1" width="29.1640625" bestFit="1" customWidth="1"/>
    <col min="2" max="2" width="68.5" customWidth="1"/>
    <col min="3" max="3" width="42.33203125" bestFit="1" customWidth="1"/>
    <col min="4" max="4" width="31.6640625" customWidth="1"/>
    <col min="5" max="5" width="41.83203125" customWidth="1"/>
    <col min="6" max="6" width="31.1640625" customWidth="1"/>
    <col min="7" max="7" width="35" customWidth="1"/>
    <col min="8" max="8" width="33.1640625" customWidth="1"/>
    <col min="9" max="9" width="38" customWidth="1"/>
    <col min="10" max="10" width="40.83203125" customWidth="1"/>
    <col min="11" max="11" width="41.1640625" customWidth="1"/>
    <col min="12" max="12" width="30.6640625" customWidth="1"/>
    <col min="13" max="13" width="9.5" bestFit="1" customWidth="1"/>
  </cols>
  <sheetData>
    <row r="1" spans="1:13" ht="20" customHeight="1" x14ac:dyDescent="0.2">
      <c r="A1" s="2" t="s">
        <v>59</v>
      </c>
      <c r="B1" s="2" t="s">
        <v>26</v>
      </c>
      <c r="C1" s="2" t="s">
        <v>25</v>
      </c>
      <c r="D1" s="2" t="s">
        <v>0</v>
      </c>
      <c r="E1" s="2" t="s">
        <v>22</v>
      </c>
      <c r="F1" s="2" t="s">
        <v>1</v>
      </c>
      <c r="G1" s="2" t="s">
        <v>2</v>
      </c>
      <c r="H1" s="2" t="s">
        <v>3</v>
      </c>
      <c r="I1" s="2" t="s">
        <v>39</v>
      </c>
      <c r="J1" s="2" t="s">
        <v>40</v>
      </c>
      <c r="K1" s="2" t="s">
        <v>37</v>
      </c>
      <c r="L1" s="2" t="s">
        <v>38</v>
      </c>
      <c r="M1" s="1" t="s">
        <v>4</v>
      </c>
    </row>
    <row r="2" spans="1:13" ht="20" customHeight="1" x14ac:dyDescent="0.2">
      <c r="A2" s="1" t="s">
        <v>95</v>
      </c>
      <c r="B2" s="1" t="s">
        <v>62</v>
      </c>
      <c r="C2" s="1">
        <v>2018</v>
      </c>
      <c r="D2" s="1" t="s">
        <v>96</v>
      </c>
      <c r="E2" s="1" t="s">
        <v>21</v>
      </c>
      <c r="F2" s="1" t="s">
        <v>21</v>
      </c>
      <c r="G2" s="1">
        <v>585</v>
      </c>
      <c r="H2" s="1">
        <v>265</v>
      </c>
      <c r="I2" s="1">
        <v>278.5</v>
      </c>
      <c r="J2" s="1">
        <v>144</v>
      </c>
      <c r="K2" s="10">
        <v>2000000</v>
      </c>
      <c r="L2" s="1">
        <v>-1</v>
      </c>
      <c r="M2" s="14">
        <f>IF(COUNTIF(Tabella1[[#This Row],[Tensile fatigue limit (MPa)]:[Torsional fatigue limit (MPa)]],"Null")&gt;0, "Null", IF(COUNT(Tabella1[[#This Row],[Tensile fatigue limit (MPa)]:[Torsional fatigue limit (MPa)]])=0, "Null", Tabella1[[#This Row],[Tensile fatigue limit (MPa)]]/Tabella1[[#This Row],[Torsional fatigue limit (MPa)]]))</f>
        <v>1.9340277777777777</v>
      </c>
    </row>
    <row r="3" spans="1:13" ht="20" customHeight="1" x14ac:dyDescent="0.2">
      <c r="A3" s="13" t="s">
        <v>93</v>
      </c>
      <c r="B3" s="1" t="s">
        <v>94</v>
      </c>
      <c r="C3" s="1">
        <v>2024</v>
      </c>
      <c r="D3" s="1" t="s">
        <v>96</v>
      </c>
      <c r="E3" s="1">
        <v>219000</v>
      </c>
      <c r="F3" s="1">
        <v>0.28999999999999998</v>
      </c>
      <c r="G3" s="1" t="s">
        <v>21</v>
      </c>
      <c r="H3" s="1" t="s">
        <v>21</v>
      </c>
      <c r="I3" s="1">
        <v>387.8</v>
      </c>
      <c r="J3" s="1" t="s">
        <v>21</v>
      </c>
      <c r="K3" s="10">
        <v>1000000</v>
      </c>
      <c r="L3" s="1">
        <v>0</v>
      </c>
      <c r="M3" s="14" t="str">
        <f>IF(COUNTIF(Tabella1[[#This Row],[Tensile fatigue limit (MPa)]:[Torsional fatigue limit (MPa)]],"Null")&gt;0, "Null", IF(COUNT(Tabella1[[#This Row],[Tensile fatigue limit (MPa)]:[Torsional fatigue limit (MPa)]])=0, "Null", Tabella1[[#This Row],[Tensile fatigue limit (MPa)]]/Tabella1[[#This Row],[Torsional fatigue limit (MPa)]]))</f>
        <v>Null</v>
      </c>
    </row>
    <row r="4" spans="1:13" ht="20" customHeight="1" x14ac:dyDescent="0.2">
      <c r="A4" s="13"/>
      <c r="B4" s="1"/>
      <c r="C4" s="1"/>
      <c r="D4" s="1"/>
      <c r="E4" s="1"/>
      <c r="F4" s="1"/>
      <c r="G4" s="1"/>
      <c r="H4" s="1"/>
      <c r="I4" s="1"/>
      <c r="J4" s="1"/>
      <c r="K4" s="10"/>
      <c r="L4" s="1"/>
      <c r="M4" s="14"/>
    </row>
    <row r="5" spans="1:13" ht="20" customHeight="1" thickBo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0"/>
      <c r="L5" s="1"/>
      <c r="M5" s="14"/>
    </row>
    <row r="6" spans="1:13" ht="20" customHeight="1" x14ac:dyDescent="0.2">
      <c r="A6" s="59" t="s">
        <v>24</v>
      </c>
      <c r="B6" s="60"/>
      <c r="C6" s="60"/>
      <c r="D6" s="61"/>
      <c r="E6" s="3">
        <f>IF(COUNT(Tabella1[Young''s modulus (MPa)])=0, "Null", AVERAGE(Tabella1[Young''s modulus (MPa)]))</f>
        <v>219000</v>
      </c>
      <c r="F6" s="3">
        <f>IF(COUNT(Tabella1[Poisson''s ratio (-)])=0, "Null", AVERAGE(Tabella1[Poisson''s ratio (-)]))</f>
        <v>0.28999999999999998</v>
      </c>
      <c r="G6" s="3">
        <f>IF(COUNT(Tabella1[Tensile strength (MPa)])=0, "Null", AVERAGE(Tabella1[Tensile strength (MPa)]))</f>
        <v>585</v>
      </c>
      <c r="H6" s="3">
        <f>IF(COUNT(Tabella1[Yield strength (MPa)])=0, "Null", AVERAGE(Tabella1[Yield strength (MPa)]))</f>
        <v>265</v>
      </c>
      <c r="I6" s="3">
        <f>IF(COUNT(Tabella1[Tensile fatigue limit (MPa)])=0, "Null", AVERAGE(Tabella1[Tensile fatigue limit (MPa)]))</f>
        <v>333.15</v>
      </c>
      <c r="J6" s="3">
        <f>IF(COUNT(Tabella1[Torsional fatigue limit (MPa)])=0, "Null", AVERAGE(Tabella1[Torsional fatigue limit (MPa)]))</f>
        <v>144</v>
      </c>
      <c r="K6" s="11"/>
      <c r="L6" s="9"/>
      <c r="M6" s="15">
        <f>IF(COUNT(Tabella1[K])=0, "Null", AVERAGE(Tabella1[K]))</f>
        <v>1.9340277777777777</v>
      </c>
    </row>
    <row r="7" spans="1:13" ht="20" customHeight="1" thickBot="1" x14ac:dyDescent="0.25">
      <c r="A7" s="62" t="s">
        <v>23</v>
      </c>
      <c r="B7" s="63"/>
      <c r="C7" s="63"/>
      <c r="D7" s="64"/>
      <c r="E7" s="4">
        <f>IF(COUNT(Tabella1[Young''s modulus (MPa)])=0, "Null", _xlfn.STDEV.P(Tabella1[Young''s modulus (MPa)]))</f>
        <v>0</v>
      </c>
      <c r="F7" s="4">
        <f>IF(COUNT(Tabella1[Poisson''s ratio (-)])=0, "Null", _xlfn.STDEV.P(Tabella1[Poisson''s ratio (-)]))</f>
        <v>0</v>
      </c>
      <c r="G7" s="4">
        <f>IF(COUNT(Tabella1[Tensile strength (MPa)])=0, "Null", _xlfn.STDEV.P(Tabella1[Tensile strength (MPa)]))</f>
        <v>0</v>
      </c>
      <c r="H7" s="4">
        <f>IF(COUNT(Tabella1[Yield strength (MPa)])=0, "Null", _xlfn.STDEV.P(Tabella1[Yield strength (MPa)]))</f>
        <v>0</v>
      </c>
      <c r="I7" s="4">
        <f>IF(COUNT(Tabella1[Tensile fatigue limit (MPa)])=0, "Null", _xlfn.STDEV.P(Tabella1[Tensile fatigue limit (MPa)]))</f>
        <v>54.650000000000112</v>
      </c>
      <c r="J7" s="4">
        <f>IF(COUNT(Tabella1[Torsional fatigue limit (MPa)])=0, "Null", _xlfn.STDEV.P(Tabella1[Torsional fatigue limit (MPa)]))</f>
        <v>0</v>
      </c>
      <c r="K7" s="12"/>
      <c r="L7" s="4"/>
      <c r="M7" s="16">
        <f>IF(COUNT(Tabella1[K])=0, "Null", _xlfn.STDEV.P(Tabella1[K]))</f>
        <v>0</v>
      </c>
    </row>
    <row r="8" spans="1:13" ht="20" customHeight="1" x14ac:dyDescent="0.2"/>
    <row r="9" spans="1:13" ht="20" customHeight="1" x14ac:dyDescent="0.2"/>
    <row r="10" spans="1:13" ht="20" customHeight="1" x14ac:dyDescent="0.2"/>
    <row r="11" spans="1:13" ht="20" customHeight="1" x14ac:dyDescent="0.2"/>
    <row r="12" spans="1:13" ht="20" customHeight="1" thickBot="1" x14ac:dyDescent="0.25"/>
    <row r="13" spans="1:13" ht="20" customHeight="1" x14ac:dyDescent="0.2">
      <c r="A13" s="65" t="s">
        <v>29</v>
      </c>
      <c r="B13" s="5" t="s">
        <v>30</v>
      </c>
    </row>
    <row r="14" spans="1:13" ht="20" customHeight="1" thickBot="1" x14ac:dyDescent="0.25">
      <c r="A14" s="66"/>
      <c r="B14" s="6" t="s">
        <v>31</v>
      </c>
    </row>
    <row r="27" spans="4:4" x14ac:dyDescent="0.2">
      <c r="D27" s="7" t="s">
        <v>34</v>
      </c>
    </row>
    <row r="28" spans="4:4" x14ac:dyDescent="0.2">
      <c r="D28" s="8">
        <f>COUNTA(Tabella2[Authors])</f>
        <v>86</v>
      </c>
    </row>
  </sheetData>
  <mergeCells count="3">
    <mergeCell ref="A6:D6"/>
    <mergeCell ref="A7:D7"/>
    <mergeCell ref="A13:A14"/>
  </mergeCells>
  <pageMargins left="0.7" right="0.7" top="0.75" bottom="0.75" header="0.3" footer="0.3"/>
  <ignoredErrors>
    <ignoredError sqref="J2:J3" calculatedColumn="1"/>
  </ignoredErrors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B26AA-516E-43B0-A4A2-503832E5DF1E}">
  <dimension ref="A1:AQ257"/>
  <sheetViews>
    <sheetView tabSelected="1" zoomScale="120" zoomScaleNormal="120" workbookViewId="0">
      <pane ySplit="1" topLeftCell="A2" activePane="bottomLeft" state="frozen"/>
      <selection activeCell="B1" sqref="B1"/>
      <selection pane="bottomLeft" activeCell="F2" sqref="F2"/>
    </sheetView>
  </sheetViews>
  <sheetFormatPr baseColWidth="10" defaultColWidth="52.6640625" defaultRowHeight="15" x14ac:dyDescent="0.2"/>
  <cols>
    <col min="1" max="1" width="29.5" style="1" customWidth="1"/>
    <col min="2" max="2" width="20.33203125" style="1" customWidth="1"/>
    <col min="3" max="3" width="37.1640625" style="1" customWidth="1"/>
    <col min="4" max="4" width="30.1640625" style="1" customWidth="1"/>
    <col min="5" max="5" width="32.83203125" style="14" customWidth="1"/>
    <col min="6" max="6" width="24.5" style="1" customWidth="1"/>
    <col min="7" max="7" width="49.1640625" style="21" customWidth="1"/>
    <col min="8" max="8" width="28.6640625" style="1" customWidth="1"/>
    <col min="9" max="9" width="63.5" style="1" customWidth="1"/>
    <col min="10" max="10" width="31.33203125" style="1" customWidth="1"/>
    <col min="11" max="11" width="26.5" style="1" customWidth="1"/>
    <col min="12" max="12" width="28" style="1" customWidth="1"/>
    <col min="13" max="13" width="35" style="1" customWidth="1"/>
    <col min="14" max="14" width="31.83203125" style="1" customWidth="1"/>
    <col min="15" max="15" width="35" style="1" customWidth="1"/>
    <col min="16" max="16" width="49.5" style="1" customWidth="1"/>
    <col min="17" max="17" width="53.1640625" style="21" customWidth="1"/>
    <col min="18" max="18" width="42.1640625" style="1" customWidth="1"/>
    <col min="19" max="19" width="33.5" style="1" customWidth="1"/>
    <col min="20" max="20" width="38.5" style="1" customWidth="1"/>
    <col min="21" max="21" width="37.1640625" style="28" customWidth="1"/>
    <col min="22" max="22" width="40.6640625" style="28" customWidth="1"/>
    <col min="23" max="23" width="40" style="28" customWidth="1"/>
    <col min="24" max="24" width="35.1640625" style="1" customWidth="1"/>
    <col min="25" max="25" width="34.33203125" style="1" customWidth="1"/>
    <col min="26" max="26" width="41.5" style="1" customWidth="1"/>
    <col min="27" max="27" width="28.6640625" style="49" customWidth="1"/>
    <col min="28" max="28" width="29.5" style="29" customWidth="1"/>
    <col min="29" max="29" width="27.5" style="29" customWidth="1"/>
    <col min="30" max="30" width="30.1640625" style="29" customWidth="1"/>
    <col min="31" max="31" width="30.83203125" style="33" customWidth="1"/>
    <col min="32" max="32" width="25" style="29" customWidth="1"/>
    <col min="33" max="33" width="30.33203125" style="21" customWidth="1"/>
    <col min="34" max="34" width="28.5" style="29" customWidth="1"/>
    <col min="35" max="35" width="29.33203125" style="29" customWidth="1"/>
    <col min="36" max="36" width="20.1640625" style="29" customWidth="1"/>
    <col min="37" max="37" width="23.1640625" style="29" customWidth="1"/>
    <col min="38" max="38" width="23.33203125" style="29" customWidth="1"/>
    <col min="39" max="39" width="25.83203125" style="29" customWidth="1"/>
    <col min="40" max="40" width="23.83203125" style="29" customWidth="1"/>
    <col min="41" max="41" width="24" style="23" customWidth="1"/>
    <col min="42" max="42" width="25.83203125" style="21" customWidth="1"/>
    <col min="43" max="43" width="27.6640625" style="41" customWidth="1"/>
    <col min="44" max="16384" width="52.6640625" style="1"/>
  </cols>
  <sheetData>
    <row r="1" spans="1:43" s="27" customFormat="1" ht="44.25" customHeight="1" x14ac:dyDescent="0.2">
      <c r="A1" s="26" t="s">
        <v>26</v>
      </c>
      <c r="B1" s="26" t="s">
        <v>25</v>
      </c>
      <c r="C1" s="26" t="s">
        <v>59</v>
      </c>
      <c r="D1" s="26" t="s">
        <v>19</v>
      </c>
      <c r="E1" s="44" t="s">
        <v>5</v>
      </c>
      <c r="F1" s="26" t="s">
        <v>6</v>
      </c>
      <c r="G1" s="25" t="s">
        <v>18</v>
      </c>
      <c r="H1" s="32" t="s">
        <v>16</v>
      </c>
      <c r="I1" s="32" t="s">
        <v>44</v>
      </c>
      <c r="J1" s="32" t="s">
        <v>28</v>
      </c>
      <c r="K1" s="37" t="s">
        <v>41</v>
      </c>
      <c r="L1" s="37" t="s">
        <v>42</v>
      </c>
      <c r="M1" s="37" t="s">
        <v>43</v>
      </c>
      <c r="N1" s="32" t="s">
        <v>17</v>
      </c>
      <c r="O1" s="38" t="s">
        <v>33</v>
      </c>
      <c r="P1" s="38" t="s">
        <v>159</v>
      </c>
      <c r="Q1" s="31" t="s">
        <v>160</v>
      </c>
      <c r="R1" s="30" t="s">
        <v>45</v>
      </c>
      <c r="S1" s="30" t="s">
        <v>46</v>
      </c>
      <c r="T1" s="30" t="s">
        <v>47</v>
      </c>
      <c r="U1" s="50" t="s">
        <v>48</v>
      </c>
      <c r="V1" s="50" t="s">
        <v>49</v>
      </c>
      <c r="W1" s="50" t="s">
        <v>50</v>
      </c>
      <c r="X1" s="35" t="s">
        <v>14</v>
      </c>
      <c r="Y1" s="35" t="s">
        <v>51</v>
      </c>
      <c r="Z1" s="35" t="s">
        <v>15</v>
      </c>
      <c r="AA1" s="53" t="s">
        <v>7</v>
      </c>
      <c r="AB1" s="43" t="s">
        <v>8</v>
      </c>
      <c r="AC1" s="43" t="s">
        <v>52</v>
      </c>
      <c r="AD1" s="43" t="s">
        <v>53</v>
      </c>
      <c r="AE1" s="46" t="s">
        <v>56</v>
      </c>
      <c r="AF1" s="45" t="s">
        <v>9</v>
      </c>
      <c r="AG1" s="39" t="s">
        <v>10</v>
      </c>
      <c r="AH1" s="47" t="s">
        <v>54</v>
      </c>
      <c r="AI1" s="48" t="s">
        <v>55</v>
      </c>
      <c r="AJ1" s="47" t="s">
        <v>57</v>
      </c>
      <c r="AK1" s="48" t="s">
        <v>61</v>
      </c>
      <c r="AL1" s="47" t="s">
        <v>35</v>
      </c>
      <c r="AM1" s="48" t="s">
        <v>36</v>
      </c>
      <c r="AN1" s="47" t="s">
        <v>12</v>
      </c>
      <c r="AO1" s="52" t="s">
        <v>11</v>
      </c>
      <c r="AP1" s="55" t="s">
        <v>13</v>
      </c>
      <c r="AQ1" s="58" t="s">
        <v>60</v>
      </c>
    </row>
    <row r="2" spans="1:43" ht="20" customHeight="1" x14ac:dyDescent="0.2">
      <c r="A2" s="1" t="s">
        <v>62</v>
      </c>
      <c r="B2" s="1">
        <v>2018</v>
      </c>
      <c r="C2" s="1" t="s">
        <v>63</v>
      </c>
      <c r="D2" s="1" t="s">
        <v>64</v>
      </c>
      <c r="E2" s="28">
        <v>17225000</v>
      </c>
      <c r="F2" s="1" t="s">
        <v>32</v>
      </c>
      <c r="G2" s="21" t="s">
        <v>65</v>
      </c>
      <c r="H2" s="1" t="e" vm="1">
        <v>#VALUE!</v>
      </c>
      <c r="I2" s="1" t="s">
        <v>92</v>
      </c>
      <c r="J2" s="1" t="s">
        <v>20</v>
      </c>
      <c r="K2" s="1" t="s">
        <v>21</v>
      </c>
      <c r="L2" s="1" t="s">
        <v>21</v>
      </c>
      <c r="M2" s="1">
        <v>8.98</v>
      </c>
      <c r="N2" s="1">
        <v>10.993</v>
      </c>
      <c r="O2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31.577442882802448</v>
      </c>
      <c r="P2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397.65167718476187</v>
      </c>
      <c r="Q2" s="2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795.30335436952373</v>
      </c>
      <c r="R2" s="1">
        <v>0</v>
      </c>
      <c r="S2" s="1">
        <v>0</v>
      </c>
      <c r="T2" s="1">
        <v>0</v>
      </c>
      <c r="U2" s="28">
        <v>10</v>
      </c>
      <c r="V2" s="28">
        <v>10</v>
      </c>
      <c r="W2" s="28">
        <v>10</v>
      </c>
      <c r="X2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2" s="1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2" s="1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2" s="49">
        <v>0</v>
      </c>
      <c r="AB2" s="29">
        <v>0</v>
      </c>
      <c r="AC2" s="14">
        <v>0</v>
      </c>
      <c r="AD2" s="29">
        <v>265.8</v>
      </c>
      <c r="AE2" s="33" t="s">
        <v>58</v>
      </c>
      <c r="AF2" s="29">
        <v>0</v>
      </c>
      <c r="AG2" s="23">
        <v>0</v>
      </c>
      <c r="AH2" s="29">
        <f>IF(ISNUMBER(Tabella2[[#This Row],[Mean RADIAL stress  (MPa)]]), Tabella2[[#This Row],[Mean RADIAL stress  (MPa)]],"")</f>
        <v>0</v>
      </c>
      <c r="AI2" s="29">
        <f>IF(ISNUMBER(Tabella2[[#This Row],[Amplitute RADIAL stress  (MPa)]]), Tabella2[[#This Row],[Amplitute RADIAL stress  (MPa)]],"")</f>
        <v>0</v>
      </c>
      <c r="AJ2" s="29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2" s="29">
        <f>IF(ISNUMBER(Tabella2[[#This Row],[Amplitute AXIAL stress  (MPa)]]),    IF(Tabella2[[#This Row],[derived from (AXIAL/BENDING) load]]="AXIAL",Tabella2[[#This Row],[Amplitute AXIAL stress  (MPa)]]*Tabella2[[#This Row],[Area (mm^2)]],"Null"), "")</f>
        <v>8393.2843182488905</v>
      </c>
      <c r="AL2" s="29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Row],[Bending moment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Row],[Bending moment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Row],[Bending moment of inertia (mm^4)]]/(Tabella2[[#This Row],[B (mm)]]*0.5),"Null"))),"")</f>
        <v>Null</v>
      </c>
      <c r="AM2" s="29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Row],[Bending moment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Row],[Bending moment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Row],[Bending moment of inertia (mm^4)]]/(Tabella2[[#This Row],[B (mm)]]*0.5),"Null"))), "")</f>
        <v>Null</v>
      </c>
      <c r="AN2" s="29">
        <f>IF(ISNUMBER(Tabella2[[#This Row],[Mean SHEAR stress  (MPa)]]),  IF(AND(ISNUMBER(Tabella2[[#This Row],[Mean SHEAR stress  (MPa)]]), ISNUMBER(Tabella2[[#This Row],[Torsional moment of inertia (mm^4)]]), ISNUMBER(Tabella2[[#This Row],[Diameter (mm)]])), Tabella2[[#This Row],[Mean SHEAR stress  (MPa)]]*Tabella2[[#This Row],[Torsional moment of inertia (mm^4)]]/(0.5*Tabella2[[#This Row],[Diameter (mm)]]),"Null"), " ")</f>
        <v>0</v>
      </c>
      <c r="AO2" s="23">
        <f>IF(ISNUMBER(Tabella2[[#This Row],[Amplitute SHEAR stress  (MPa)]]), IF(AND(ISNUMBER(Tabella2[[#This Row],[Amplitute SHEAR stress  (MPa)]]), ISNUMBER(Tabella2[[#This Row],[Torsional moment of inertia (mm^4)]]), ISNUMBER(Tabella2[[#This Row],[Diameter (mm)]])),Tabella2[[#This Row],[Amplitute SHEAR stress  (MPa)]]*Tabella2[[#This Row],[Torsional moment of inertia (mm^4)]]/(0.5*Tabella2[[#This Row],[Diameter (mm)]]),"Null"), "")</f>
        <v>0</v>
      </c>
      <c r="AP2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2" s="4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265.8</v>
      </c>
    </row>
    <row r="3" spans="1:43" ht="20" customHeight="1" x14ac:dyDescent="0.2">
      <c r="A3" s="1" t="s">
        <v>62</v>
      </c>
      <c r="B3" s="1">
        <v>2018</v>
      </c>
      <c r="C3" s="1" t="s">
        <v>63</v>
      </c>
      <c r="D3" s="1" t="s">
        <v>66</v>
      </c>
      <c r="E3" s="28">
        <v>2474000</v>
      </c>
      <c r="F3" s="1" t="s">
        <v>20</v>
      </c>
      <c r="G3" s="21" t="s">
        <v>65</v>
      </c>
      <c r="H3" s="1" t="e" vm="1">
        <v>#VALUE!</v>
      </c>
      <c r="I3" s="1" t="s">
        <v>92</v>
      </c>
      <c r="J3" s="1" t="s">
        <v>20</v>
      </c>
      <c r="K3" s="1" t="s">
        <v>21</v>
      </c>
      <c r="L3" s="1" t="s">
        <v>21</v>
      </c>
      <c r="M3" s="1">
        <v>8.98</v>
      </c>
      <c r="N3" s="1">
        <v>10.997999999999999</v>
      </c>
      <c r="O3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31.663801337858793</v>
      </c>
      <c r="P3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398.95678041767007</v>
      </c>
      <c r="Q3" s="2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797.91356083534015</v>
      </c>
      <c r="R3" s="1">
        <v>0</v>
      </c>
      <c r="S3" s="1">
        <v>0</v>
      </c>
      <c r="T3" s="1">
        <v>0</v>
      </c>
      <c r="U3" s="28">
        <v>10</v>
      </c>
      <c r="V3" s="28">
        <v>10</v>
      </c>
      <c r="W3" s="28">
        <v>10</v>
      </c>
      <c r="X3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3" s="1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3" s="1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3" s="49">
        <v>0</v>
      </c>
      <c r="AB3" s="29">
        <v>0</v>
      </c>
      <c r="AC3" s="14">
        <v>0</v>
      </c>
      <c r="AD3" s="29">
        <v>271.60000000000002</v>
      </c>
      <c r="AE3" s="33" t="s">
        <v>58</v>
      </c>
      <c r="AF3" s="29">
        <v>0</v>
      </c>
      <c r="AG3" s="23">
        <v>0</v>
      </c>
      <c r="AH3" s="29">
        <f>IF(ISNUMBER(Tabella2[[#This Row],[Mean RADIAL stress  (MPa)]]), Tabella2[[#This Row],[Mean RADIAL stress  (MPa)]],"")</f>
        <v>0</v>
      </c>
      <c r="AI3" s="29">
        <f>IF(ISNUMBER(Tabella2[[#This Row],[Amplitute RADIAL stress  (MPa)]]), Tabella2[[#This Row],[Amplitute RADIAL stress  (MPa)]],"")</f>
        <v>0</v>
      </c>
      <c r="AJ3" s="29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3" s="29">
        <f>IF(ISNUMBER(Tabella2[[#This Row],[Amplitute AXIAL stress  (MPa)]]),    IF(Tabella2[[#This Row],[derived from (AXIAL/BENDING) load]]="AXIAL",Tabella2[[#This Row],[Amplitute AXIAL stress  (MPa)]]*Tabella2[[#This Row],[Area (mm^2)]],"Null"), "")</f>
        <v>8599.888443362448</v>
      </c>
      <c r="AL3" s="29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Row],[Bending moment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Row],[Bending moment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Row],[Bending moment of inertia (mm^4)]]/(Tabella2[[#This Row],[B (mm)]]*0.5),"Null"))),"")</f>
        <v>Null</v>
      </c>
      <c r="AM3" s="29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Row],[Bending moment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Row],[Bending moment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Row],[Bending moment of inertia (mm^4)]]/(Tabella2[[#This Row],[B (mm)]]*0.5),"Null"))), "")</f>
        <v>Null</v>
      </c>
      <c r="AN3" s="29">
        <f>IF(ISNUMBER(Tabella2[[#This Row],[Mean SHEAR stress  (MPa)]]),  IF(AND(ISNUMBER(Tabella2[[#This Row],[Mean SHEAR stress  (MPa)]]), ISNUMBER(Tabella2[[#This Row],[Torsional moment of inertia (mm^4)]]), ISNUMBER(Tabella2[[#This Row],[Diameter (mm)]])), Tabella2[[#This Row],[Mean SHEAR stress  (MPa)]]*Tabella2[[#This Row],[Torsional moment of inertia (mm^4)]]/(0.5*Tabella2[[#This Row],[Diameter (mm)]]),"Null"), " ")</f>
        <v>0</v>
      </c>
      <c r="AO3" s="23">
        <f>IF(ISNUMBER(Tabella2[[#This Row],[Amplitute SHEAR stress  (MPa)]]), IF(AND(ISNUMBER(Tabella2[[#This Row],[Amplitute SHEAR stress  (MPa)]]), ISNUMBER(Tabella2[[#This Row],[Torsional moment of inertia (mm^4)]]), ISNUMBER(Tabella2[[#This Row],[Diameter (mm)]])),Tabella2[[#This Row],[Amplitute SHEAR stress  (MPa)]]*Tabella2[[#This Row],[Torsional moment of inertia (mm^4)]]/(0.5*Tabella2[[#This Row],[Diameter (mm)]]),"Null"), "")</f>
        <v>0</v>
      </c>
      <c r="AP3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3" s="4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271.60000000000002</v>
      </c>
    </row>
    <row r="4" spans="1:43" ht="20" customHeight="1" x14ac:dyDescent="0.2">
      <c r="A4" s="1" t="s">
        <v>62</v>
      </c>
      <c r="B4" s="1">
        <v>2018</v>
      </c>
      <c r="C4" s="1" t="s">
        <v>63</v>
      </c>
      <c r="D4" s="1" t="s">
        <v>67</v>
      </c>
      <c r="E4" s="28">
        <v>206000</v>
      </c>
      <c r="F4" s="1" t="s">
        <v>20</v>
      </c>
      <c r="G4" s="21" t="s">
        <v>65</v>
      </c>
      <c r="H4" s="1" t="e" vm="2">
        <v>#VALUE!</v>
      </c>
      <c r="I4" s="1" t="s">
        <v>92</v>
      </c>
      <c r="J4" s="1" t="s">
        <v>20</v>
      </c>
      <c r="K4" s="1" t="s">
        <v>21</v>
      </c>
      <c r="L4" s="1" t="s">
        <v>21</v>
      </c>
      <c r="M4" s="1">
        <v>8.98</v>
      </c>
      <c r="N4" s="1">
        <v>11.002000000000001</v>
      </c>
      <c r="O4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31.732916376237796</v>
      </c>
      <c r="P4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400.00214540771003</v>
      </c>
      <c r="Q4" s="2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800.00429081542006</v>
      </c>
      <c r="R4" s="1">
        <v>0</v>
      </c>
      <c r="S4" s="1">
        <v>0</v>
      </c>
      <c r="T4" s="1">
        <v>0</v>
      </c>
      <c r="U4" s="28">
        <v>10</v>
      </c>
      <c r="V4" s="28">
        <v>10</v>
      </c>
      <c r="W4" s="28">
        <v>10</v>
      </c>
      <c r="X4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4" s="1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4" s="1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4" s="49">
        <v>0</v>
      </c>
      <c r="AB4" s="29">
        <v>0</v>
      </c>
      <c r="AC4" s="14">
        <v>0</v>
      </c>
      <c r="AD4" s="29">
        <v>271.60000000000002</v>
      </c>
      <c r="AE4" s="33" t="s">
        <v>58</v>
      </c>
      <c r="AF4" s="29">
        <v>0</v>
      </c>
      <c r="AG4" s="23">
        <v>0</v>
      </c>
      <c r="AH4" s="29">
        <f>IF(ISNUMBER(Tabella2[[#This Row],[Mean RADIAL stress  (MPa)]]), Tabella2[[#This Row],[Mean RADIAL stress  (MPa)]],"")</f>
        <v>0</v>
      </c>
      <c r="AI4" s="29">
        <f>IF(ISNUMBER(Tabella2[[#This Row],[Amplitute RADIAL stress  (MPa)]]), Tabella2[[#This Row],[Amplitute RADIAL stress  (MPa)]],"")</f>
        <v>0</v>
      </c>
      <c r="AJ4" s="29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4" s="29">
        <f>IF(ISNUMBER(Tabella2[[#This Row],[Amplitute AXIAL stress  (MPa)]]),    IF(Tabella2[[#This Row],[derived from (AXIAL/BENDING) load]]="AXIAL",Tabella2[[#This Row],[Amplitute AXIAL stress  (MPa)]]*Tabella2[[#This Row],[Area (mm^2)]],"Null"), "")</f>
        <v>8618.6600877861856</v>
      </c>
      <c r="AL4" s="29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Row],[Bending moment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Row],[Bending moment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Row],[Bending moment of inertia (mm^4)]]/(Tabella2[[#This Row],[B (mm)]]*0.5),"Null"))),"")</f>
        <v>Null</v>
      </c>
      <c r="AM4" s="29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Row],[Bending moment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Row],[Bending moment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Row],[Bending moment of inertia (mm^4)]]/(Tabella2[[#This Row],[B (mm)]]*0.5),"Null"))), "")</f>
        <v>Null</v>
      </c>
      <c r="AN4" s="29">
        <f>IF(ISNUMBER(Tabella2[[#This Row],[Mean SHEAR stress  (MPa)]]),  IF(AND(ISNUMBER(Tabella2[[#This Row],[Mean SHEAR stress  (MPa)]]), ISNUMBER(Tabella2[[#This Row],[Torsional moment of inertia (mm^4)]]), ISNUMBER(Tabella2[[#This Row],[Diameter (mm)]])), Tabella2[[#This Row],[Mean SHEAR stress  (MPa)]]*Tabella2[[#This Row],[Torsional moment of inertia (mm^4)]]/(0.5*Tabella2[[#This Row],[Diameter (mm)]]),"Null"), " ")</f>
        <v>0</v>
      </c>
      <c r="AO4" s="23">
        <f>IF(ISNUMBER(Tabella2[[#This Row],[Amplitute SHEAR stress  (MPa)]]), IF(AND(ISNUMBER(Tabella2[[#This Row],[Amplitute SHEAR stress  (MPa)]]), ISNUMBER(Tabella2[[#This Row],[Torsional moment of inertia (mm^4)]]), ISNUMBER(Tabella2[[#This Row],[Diameter (mm)]])),Tabella2[[#This Row],[Amplitute SHEAR stress  (MPa)]]*Tabella2[[#This Row],[Torsional moment of inertia (mm^4)]]/(0.5*Tabella2[[#This Row],[Diameter (mm)]]),"Null"), "")</f>
        <v>0</v>
      </c>
      <c r="AP4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4" s="4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271.60000000000002</v>
      </c>
    </row>
    <row r="5" spans="1:43" ht="20" customHeight="1" x14ac:dyDescent="0.2">
      <c r="A5" s="1" t="s">
        <v>62</v>
      </c>
      <c r="B5" s="1">
        <v>2018</v>
      </c>
      <c r="C5" s="1" t="s">
        <v>63</v>
      </c>
      <c r="D5" s="1" t="s">
        <v>68</v>
      </c>
      <c r="E5" s="28">
        <v>11000000</v>
      </c>
      <c r="F5" s="1" t="s">
        <v>32</v>
      </c>
      <c r="G5" s="21" t="s">
        <v>65</v>
      </c>
      <c r="H5" s="1" t="e" vm="1">
        <v>#VALUE!</v>
      </c>
      <c r="I5" s="1" t="s">
        <v>92</v>
      </c>
      <c r="J5" s="1" t="s">
        <v>20</v>
      </c>
      <c r="K5" s="1" t="s">
        <v>21</v>
      </c>
      <c r="L5" s="1" t="s">
        <v>21</v>
      </c>
      <c r="M5" s="1">
        <v>8.98</v>
      </c>
      <c r="N5" s="1">
        <v>10.984</v>
      </c>
      <c r="O5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31.422096623869574</v>
      </c>
      <c r="P5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395.30697488255277</v>
      </c>
      <c r="Q5" s="2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790.61394976510553</v>
      </c>
      <c r="R5" s="1">
        <v>0</v>
      </c>
      <c r="S5" s="1">
        <v>0</v>
      </c>
      <c r="T5" s="1">
        <v>0</v>
      </c>
      <c r="U5" s="28">
        <v>10</v>
      </c>
      <c r="V5" s="28">
        <v>10</v>
      </c>
      <c r="W5" s="28">
        <v>10</v>
      </c>
      <c r="X5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5" s="1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5" s="1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5" s="49">
        <v>0</v>
      </c>
      <c r="AB5" s="29">
        <v>0</v>
      </c>
      <c r="AC5" s="14">
        <v>0</v>
      </c>
      <c r="AD5" s="29">
        <v>271.60000000000002</v>
      </c>
      <c r="AE5" s="33" t="s">
        <v>58</v>
      </c>
      <c r="AF5" s="29">
        <v>0</v>
      </c>
      <c r="AG5" s="23">
        <v>0</v>
      </c>
      <c r="AH5" s="29">
        <f>IF(ISNUMBER(Tabella2[[#This Row],[Mean RADIAL stress  (MPa)]]), Tabella2[[#This Row],[Mean RADIAL stress  (MPa)]],"")</f>
        <v>0</v>
      </c>
      <c r="AI5" s="29">
        <f>IF(ISNUMBER(Tabella2[[#This Row],[Amplitute RADIAL stress  (MPa)]]), Tabella2[[#This Row],[Amplitute RADIAL stress  (MPa)]],"")</f>
        <v>0</v>
      </c>
      <c r="AJ5" s="29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5" s="29">
        <f>IF(ISNUMBER(Tabella2[[#This Row],[Amplitute AXIAL stress  (MPa)]]),    IF(Tabella2[[#This Row],[derived from (AXIAL/BENDING) load]]="AXIAL",Tabella2[[#This Row],[Amplitute AXIAL stress  (MPa)]]*Tabella2[[#This Row],[Area (mm^2)]],"Null"), "")</f>
        <v>8534.2414430429762</v>
      </c>
      <c r="AL5" s="29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Row],[Bending moment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Row],[Bending moment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Row],[Bending moment of inertia (mm^4)]]/(Tabella2[[#This Row],[B (mm)]]*0.5),"Null"))),"")</f>
        <v>Null</v>
      </c>
      <c r="AM5" s="29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Row],[Bending moment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Row],[Bending moment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Row],[Bending moment of inertia (mm^4)]]/(Tabella2[[#This Row],[B (mm)]]*0.5),"Null"))), "")</f>
        <v>Null</v>
      </c>
      <c r="AN5" s="29">
        <f>IF(ISNUMBER(Tabella2[[#This Row],[Mean SHEAR stress  (MPa)]]),  IF(AND(ISNUMBER(Tabella2[[#This Row],[Mean SHEAR stress  (MPa)]]), ISNUMBER(Tabella2[[#This Row],[Torsional moment of inertia (mm^4)]]), ISNUMBER(Tabella2[[#This Row],[Diameter (mm)]])), Tabella2[[#This Row],[Mean SHEAR stress  (MPa)]]*Tabella2[[#This Row],[Torsional moment of inertia (mm^4)]]/(0.5*Tabella2[[#This Row],[Diameter (mm)]]),"Null"), " ")</f>
        <v>0</v>
      </c>
      <c r="AO5" s="23">
        <f>IF(ISNUMBER(Tabella2[[#This Row],[Amplitute SHEAR stress  (MPa)]]), IF(AND(ISNUMBER(Tabella2[[#This Row],[Amplitute SHEAR stress  (MPa)]]), ISNUMBER(Tabella2[[#This Row],[Torsional moment of inertia (mm^4)]]), ISNUMBER(Tabella2[[#This Row],[Diameter (mm)]])),Tabella2[[#This Row],[Amplitute SHEAR stress  (MPa)]]*Tabella2[[#This Row],[Torsional moment of inertia (mm^4)]]/(0.5*Tabella2[[#This Row],[Diameter (mm)]]),"Null"), "")</f>
        <v>0</v>
      </c>
      <c r="AP5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5" s="4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271.60000000000002</v>
      </c>
    </row>
    <row r="6" spans="1:43" ht="20" customHeight="1" x14ac:dyDescent="0.2">
      <c r="A6" s="1" t="s">
        <v>62</v>
      </c>
      <c r="B6" s="1">
        <v>2018</v>
      </c>
      <c r="C6" s="1" t="s">
        <v>63</v>
      </c>
      <c r="D6" s="1" t="s">
        <v>69</v>
      </c>
      <c r="E6" s="28">
        <v>116000</v>
      </c>
      <c r="F6" s="1" t="s">
        <v>20</v>
      </c>
      <c r="G6" s="21" t="s">
        <v>65</v>
      </c>
      <c r="H6" s="1" t="e" vm="1">
        <v>#VALUE!</v>
      </c>
      <c r="I6" s="1" t="s">
        <v>92</v>
      </c>
      <c r="J6" s="1" t="s">
        <v>20</v>
      </c>
      <c r="K6" s="1" t="s">
        <v>21</v>
      </c>
      <c r="L6" s="1" t="s">
        <v>21</v>
      </c>
      <c r="M6" s="1">
        <v>8.98</v>
      </c>
      <c r="N6" s="1">
        <v>11.01</v>
      </c>
      <c r="O6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31.871221851219424</v>
      </c>
      <c r="P6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402.09629865612993</v>
      </c>
      <c r="Q6" s="2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804.19259731225986</v>
      </c>
      <c r="R6" s="1">
        <v>0</v>
      </c>
      <c r="S6" s="1">
        <v>0</v>
      </c>
      <c r="T6" s="1">
        <v>0</v>
      </c>
      <c r="U6" s="28">
        <v>10</v>
      </c>
      <c r="V6" s="28">
        <v>10</v>
      </c>
      <c r="W6" s="28">
        <v>10</v>
      </c>
      <c r="X6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6" s="1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6" s="1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6" s="49">
        <v>0</v>
      </c>
      <c r="AB6" s="29">
        <v>0</v>
      </c>
      <c r="AC6" s="14">
        <v>0</v>
      </c>
      <c r="AD6" s="29">
        <v>277.39999999999998</v>
      </c>
      <c r="AE6" s="33" t="s">
        <v>58</v>
      </c>
      <c r="AF6" s="29">
        <v>0</v>
      </c>
      <c r="AG6" s="23">
        <v>0</v>
      </c>
      <c r="AH6" s="29">
        <f>IF(ISNUMBER(Tabella2[[#This Row],[Mean RADIAL stress  (MPa)]]), Tabella2[[#This Row],[Mean RADIAL stress  (MPa)]],"")</f>
        <v>0</v>
      </c>
      <c r="AI6" s="29">
        <f>IF(ISNUMBER(Tabella2[[#This Row],[Amplitute RADIAL stress  (MPa)]]), Tabella2[[#This Row],[Amplitute RADIAL stress  (MPa)]],"")</f>
        <v>0</v>
      </c>
      <c r="AJ6" s="29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6" s="29">
        <f>IF(ISNUMBER(Tabella2[[#This Row],[Amplitute AXIAL stress  (MPa)]]),    IF(Tabella2[[#This Row],[derived from (AXIAL/BENDING) load]]="AXIAL",Tabella2[[#This Row],[Amplitute AXIAL stress  (MPa)]]*Tabella2[[#This Row],[Area (mm^2)]],"Null"), "")</f>
        <v>8841.0769415282666</v>
      </c>
      <c r="AL6" s="29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Row],[Bending moment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Row],[Bending moment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Row],[Bending moment of inertia (mm^4)]]/(Tabella2[[#This Row],[B (mm)]]*0.5),"Null"))),"")</f>
        <v>Null</v>
      </c>
      <c r="AM6" s="29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Row],[Bending moment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Row],[Bending moment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Row],[Bending moment of inertia (mm^4)]]/(Tabella2[[#This Row],[B (mm)]]*0.5),"Null"))), "")</f>
        <v>Null</v>
      </c>
      <c r="AN6" s="29">
        <f>IF(ISNUMBER(Tabella2[[#This Row],[Mean SHEAR stress  (MPa)]]),  IF(AND(ISNUMBER(Tabella2[[#This Row],[Mean SHEAR stress  (MPa)]]), ISNUMBER(Tabella2[[#This Row],[Torsional moment of inertia (mm^4)]]), ISNUMBER(Tabella2[[#This Row],[Diameter (mm)]])), Tabella2[[#This Row],[Mean SHEAR stress  (MPa)]]*Tabella2[[#This Row],[Torsional moment of inertia (mm^4)]]/(0.5*Tabella2[[#This Row],[Diameter (mm)]]),"Null"), " ")</f>
        <v>0</v>
      </c>
      <c r="AO6" s="23">
        <f>IF(ISNUMBER(Tabella2[[#This Row],[Amplitute SHEAR stress  (MPa)]]), IF(AND(ISNUMBER(Tabella2[[#This Row],[Amplitute SHEAR stress  (MPa)]]), ISNUMBER(Tabella2[[#This Row],[Torsional moment of inertia (mm^4)]]), ISNUMBER(Tabella2[[#This Row],[Diameter (mm)]])),Tabella2[[#This Row],[Amplitute SHEAR stress  (MPa)]]*Tabella2[[#This Row],[Torsional moment of inertia (mm^4)]]/(0.5*Tabella2[[#This Row],[Diameter (mm)]]),"Null"), "")</f>
        <v>0</v>
      </c>
      <c r="AP6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6" s="4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277.39999999999998</v>
      </c>
    </row>
    <row r="7" spans="1:43" ht="20" customHeight="1" x14ac:dyDescent="0.2">
      <c r="A7" s="1" t="s">
        <v>62</v>
      </c>
      <c r="B7" s="1">
        <v>2018</v>
      </c>
      <c r="C7" s="1" t="s">
        <v>63</v>
      </c>
      <c r="D7" s="1" t="s">
        <v>70</v>
      </c>
      <c r="E7" s="28">
        <v>158000</v>
      </c>
      <c r="F7" s="1" t="s">
        <v>20</v>
      </c>
      <c r="G7" s="21" t="s">
        <v>65</v>
      </c>
      <c r="H7" s="1" t="e" vm="1">
        <v>#VALUE!</v>
      </c>
      <c r="I7" s="1" t="s">
        <v>92</v>
      </c>
      <c r="J7" s="1" t="s">
        <v>20</v>
      </c>
      <c r="K7" s="1" t="s">
        <v>21</v>
      </c>
      <c r="L7" s="1" t="s">
        <v>21</v>
      </c>
      <c r="M7" s="1">
        <v>8.98</v>
      </c>
      <c r="N7" s="1">
        <v>11.007</v>
      </c>
      <c r="O7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31.819345517128845</v>
      </c>
      <c r="P7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401.31045601060219</v>
      </c>
      <c r="Q7" s="2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802.62091202120439</v>
      </c>
      <c r="R7" s="1">
        <v>0</v>
      </c>
      <c r="S7" s="1">
        <v>0</v>
      </c>
      <c r="T7" s="1">
        <v>0</v>
      </c>
      <c r="U7" s="28">
        <v>10</v>
      </c>
      <c r="V7" s="28">
        <v>10</v>
      </c>
      <c r="W7" s="28">
        <v>10</v>
      </c>
      <c r="X7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7" s="1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7" s="1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7" s="49">
        <v>0</v>
      </c>
      <c r="AB7" s="29">
        <v>0</v>
      </c>
      <c r="AC7" s="14">
        <v>0</v>
      </c>
      <c r="AD7" s="29">
        <v>277.39999999999998</v>
      </c>
      <c r="AE7" s="33" t="s">
        <v>58</v>
      </c>
      <c r="AF7" s="29">
        <v>0</v>
      </c>
      <c r="AG7" s="23">
        <v>0</v>
      </c>
      <c r="AH7" s="29">
        <f>IF(ISNUMBER(Tabella2[[#This Row],[Mean RADIAL stress  (MPa)]]), Tabella2[[#This Row],[Mean RADIAL stress  (MPa)]],"")</f>
        <v>0</v>
      </c>
      <c r="AI7" s="29">
        <f>IF(ISNUMBER(Tabella2[[#This Row],[Amplitute RADIAL stress  (MPa)]]), Tabella2[[#This Row],[Amplitute RADIAL stress  (MPa)]],"")</f>
        <v>0</v>
      </c>
      <c r="AJ7" s="29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7" s="29">
        <f>IF(ISNUMBER(Tabella2[[#This Row],[Amplitute AXIAL stress  (MPa)]]),    IF(Tabella2[[#This Row],[derived from (AXIAL/BENDING) load]]="AXIAL",Tabella2[[#This Row],[Amplitute AXIAL stress  (MPa)]]*Tabella2[[#This Row],[Area (mm^2)]],"Null"), "")</f>
        <v>8826.6864464515402</v>
      </c>
      <c r="AL7" s="29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Row],[Bending moment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Row],[Bending moment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Row],[Bending moment of inertia (mm^4)]]/(Tabella2[[#This Row],[B (mm)]]*0.5),"Null"))),"")</f>
        <v>Null</v>
      </c>
      <c r="AM7" s="29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Row],[Bending moment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Row],[Bending moment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Row],[Bending moment of inertia (mm^4)]]/(Tabella2[[#This Row],[B (mm)]]*0.5),"Null"))), "")</f>
        <v>Null</v>
      </c>
      <c r="AN7" s="29">
        <f>IF(ISNUMBER(Tabella2[[#This Row],[Mean SHEAR stress  (MPa)]]),  IF(AND(ISNUMBER(Tabella2[[#This Row],[Mean SHEAR stress  (MPa)]]), ISNUMBER(Tabella2[[#This Row],[Torsional moment of inertia (mm^4)]]), ISNUMBER(Tabella2[[#This Row],[Diameter (mm)]])), Tabella2[[#This Row],[Mean SHEAR stress  (MPa)]]*Tabella2[[#This Row],[Torsional moment of inertia (mm^4)]]/(0.5*Tabella2[[#This Row],[Diameter (mm)]]),"Null"), " ")</f>
        <v>0</v>
      </c>
      <c r="AO7" s="23">
        <f>IF(ISNUMBER(Tabella2[[#This Row],[Amplitute SHEAR stress  (MPa)]]), IF(AND(ISNUMBER(Tabella2[[#This Row],[Amplitute SHEAR stress  (MPa)]]), ISNUMBER(Tabella2[[#This Row],[Torsional moment of inertia (mm^4)]]), ISNUMBER(Tabella2[[#This Row],[Diameter (mm)]])),Tabella2[[#This Row],[Amplitute SHEAR stress  (MPa)]]*Tabella2[[#This Row],[Torsional moment of inertia (mm^4)]]/(0.5*Tabella2[[#This Row],[Diameter (mm)]]),"Null"), "")</f>
        <v>0</v>
      </c>
      <c r="AP7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7" s="4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277.39999999999998</v>
      </c>
    </row>
    <row r="8" spans="1:43" ht="20" customHeight="1" x14ac:dyDescent="0.2">
      <c r="A8" s="1" t="s">
        <v>62</v>
      </c>
      <c r="B8" s="1">
        <v>2018</v>
      </c>
      <c r="C8" s="1" t="s">
        <v>63</v>
      </c>
      <c r="D8" s="1" t="s">
        <v>71</v>
      </c>
      <c r="E8" s="28">
        <v>11000000</v>
      </c>
      <c r="F8" s="1" t="s">
        <v>32</v>
      </c>
      <c r="G8" s="21" t="s">
        <v>65</v>
      </c>
      <c r="H8" s="1" t="e" vm="1">
        <v>#VALUE!</v>
      </c>
      <c r="I8" s="1" t="s">
        <v>92</v>
      </c>
      <c r="J8" s="1" t="s">
        <v>20</v>
      </c>
      <c r="K8" s="1" t="s">
        <v>21</v>
      </c>
      <c r="L8" s="1" t="s">
        <v>21</v>
      </c>
      <c r="M8" s="1">
        <v>9.11</v>
      </c>
      <c r="N8" s="1">
        <v>10.999000000000001</v>
      </c>
      <c r="O8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29.834056880397302</v>
      </c>
      <c r="P8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380.32847469589893</v>
      </c>
      <c r="Q8" s="2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760.65694939179787</v>
      </c>
      <c r="R8" s="1">
        <v>0</v>
      </c>
      <c r="S8" s="1">
        <v>0</v>
      </c>
      <c r="T8" s="1">
        <v>0</v>
      </c>
      <c r="U8" s="28">
        <v>10</v>
      </c>
      <c r="V8" s="28">
        <v>10</v>
      </c>
      <c r="W8" s="28">
        <v>10</v>
      </c>
      <c r="X8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8" s="1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8" s="1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8" s="49">
        <v>0</v>
      </c>
      <c r="AB8" s="29">
        <v>0</v>
      </c>
      <c r="AC8" s="14">
        <v>0</v>
      </c>
      <c r="AD8" s="29">
        <v>277.39999999999998</v>
      </c>
      <c r="AE8" s="33" t="s">
        <v>58</v>
      </c>
      <c r="AF8" s="29">
        <v>0</v>
      </c>
      <c r="AG8" s="23">
        <v>0</v>
      </c>
      <c r="AH8" s="29">
        <f>IF(ISNUMBER(Tabella2[[#This Row],[Mean RADIAL stress  (MPa)]]), Tabella2[[#This Row],[Mean RADIAL stress  (MPa)]],"")</f>
        <v>0</v>
      </c>
      <c r="AI8" s="29">
        <f>IF(ISNUMBER(Tabella2[[#This Row],[Amplitute RADIAL stress  (MPa)]]), Tabella2[[#This Row],[Amplitute RADIAL stress  (MPa)]],"")</f>
        <v>0</v>
      </c>
      <c r="AJ8" s="29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8" s="29">
        <f>IF(ISNUMBER(Tabella2[[#This Row],[Amplitute AXIAL stress  (MPa)]]),    IF(Tabella2[[#This Row],[derived from (AXIAL/BENDING) load]]="AXIAL",Tabella2[[#This Row],[Amplitute AXIAL stress  (MPa)]]*Tabella2[[#This Row],[Area (mm^2)]],"Null"), "")</f>
        <v>8275.9673786222102</v>
      </c>
      <c r="AL8" s="29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Row],[Bending moment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Row],[Bending moment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Row],[Bending moment of inertia (mm^4)]]/(Tabella2[[#This Row],[B (mm)]]*0.5),"Null"))),"")</f>
        <v>Null</v>
      </c>
      <c r="AM8" s="29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Row],[Bending moment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Row],[Bending moment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Row],[Bending moment of inertia (mm^4)]]/(Tabella2[[#This Row],[B (mm)]]*0.5),"Null"))), "")</f>
        <v>Null</v>
      </c>
      <c r="AN8" s="29">
        <f>IF(ISNUMBER(Tabella2[[#This Row],[Mean SHEAR stress  (MPa)]]),  IF(AND(ISNUMBER(Tabella2[[#This Row],[Mean SHEAR stress  (MPa)]]), ISNUMBER(Tabella2[[#This Row],[Torsional moment of inertia (mm^4)]]), ISNUMBER(Tabella2[[#This Row],[Diameter (mm)]])), Tabella2[[#This Row],[Mean SHEAR stress  (MPa)]]*Tabella2[[#This Row],[Torsional moment of inertia (mm^4)]]/(0.5*Tabella2[[#This Row],[Diameter (mm)]]),"Null"), " ")</f>
        <v>0</v>
      </c>
      <c r="AO8" s="23">
        <f>IF(ISNUMBER(Tabella2[[#This Row],[Amplitute SHEAR stress  (MPa)]]), IF(AND(ISNUMBER(Tabella2[[#This Row],[Amplitute SHEAR stress  (MPa)]]), ISNUMBER(Tabella2[[#This Row],[Torsional moment of inertia (mm^4)]]), ISNUMBER(Tabella2[[#This Row],[Diameter (mm)]])),Tabella2[[#This Row],[Amplitute SHEAR stress  (MPa)]]*Tabella2[[#This Row],[Torsional moment of inertia (mm^4)]]/(0.5*Tabella2[[#This Row],[Diameter (mm)]]),"Null"), "")</f>
        <v>0</v>
      </c>
      <c r="AP8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8" s="4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277.39999999999998</v>
      </c>
    </row>
    <row r="9" spans="1:43" ht="20" customHeight="1" x14ac:dyDescent="0.2">
      <c r="A9" s="1" t="s">
        <v>62</v>
      </c>
      <c r="B9" s="1">
        <v>2018</v>
      </c>
      <c r="C9" s="1" t="s">
        <v>63</v>
      </c>
      <c r="D9" s="1" t="s">
        <v>72</v>
      </c>
      <c r="E9" s="28">
        <v>638000</v>
      </c>
      <c r="F9" s="1" t="s">
        <v>20</v>
      </c>
      <c r="G9" s="21" t="s">
        <v>65</v>
      </c>
      <c r="H9" s="1" t="e" vm="1">
        <v>#VALUE!</v>
      </c>
      <c r="I9" s="1" t="s">
        <v>92</v>
      </c>
      <c r="J9" s="1" t="s">
        <v>20</v>
      </c>
      <c r="K9" s="1" t="s">
        <v>21</v>
      </c>
      <c r="L9" s="1" t="s">
        <v>21</v>
      </c>
      <c r="M9" s="1">
        <v>9.11</v>
      </c>
      <c r="N9" s="1">
        <v>10.996</v>
      </c>
      <c r="O9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29.782232382585526</v>
      </c>
      <c r="P9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379.54498540485474</v>
      </c>
      <c r="Q9" s="2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759.08997080970948</v>
      </c>
      <c r="R9" s="1">
        <v>0</v>
      </c>
      <c r="S9" s="1">
        <v>0</v>
      </c>
      <c r="T9" s="1">
        <v>0</v>
      </c>
      <c r="U9" s="28">
        <v>10</v>
      </c>
      <c r="V9" s="28">
        <v>10</v>
      </c>
      <c r="W9" s="28">
        <v>10</v>
      </c>
      <c r="X9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9" s="1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9" s="1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9" s="49">
        <v>0</v>
      </c>
      <c r="AB9" s="29">
        <v>0</v>
      </c>
      <c r="AC9" s="14">
        <v>0</v>
      </c>
      <c r="AD9" s="29">
        <v>283.2</v>
      </c>
      <c r="AE9" s="33" t="s">
        <v>58</v>
      </c>
      <c r="AF9" s="29">
        <v>0</v>
      </c>
      <c r="AG9" s="23">
        <v>0</v>
      </c>
      <c r="AH9" s="29">
        <f>IF(ISNUMBER(Tabella2[[#This Row],[Mean RADIAL stress  (MPa)]]), Tabella2[[#This Row],[Mean RADIAL stress  (MPa)]],"")</f>
        <v>0</v>
      </c>
      <c r="AI9" s="29">
        <f>IF(ISNUMBER(Tabella2[[#This Row],[Amplitute RADIAL stress  (MPa)]]), Tabella2[[#This Row],[Amplitute RADIAL stress  (MPa)]],"")</f>
        <v>0</v>
      </c>
      <c r="AJ9" s="29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9" s="29">
        <f>IF(ISNUMBER(Tabella2[[#This Row],[Amplitute AXIAL stress  (MPa)]]),    IF(Tabella2[[#This Row],[derived from (AXIAL/BENDING) load]]="AXIAL",Tabella2[[#This Row],[Amplitute AXIAL stress  (MPa)]]*Tabella2[[#This Row],[Area (mm^2)]],"Null"), "")</f>
        <v>8434.328210748221</v>
      </c>
      <c r="AL9" s="29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Row],[Bending moment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Row],[Bending moment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Row],[Bending moment of inertia (mm^4)]]/(Tabella2[[#This Row],[B (mm)]]*0.5),"Null"))),"")</f>
        <v>Null</v>
      </c>
      <c r="AM9" s="29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Row],[Bending moment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Row],[Bending moment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Row],[Bending moment of inertia (mm^4)]]/(Tabella2[[#This Row],[B (mm)]]*0.5),"Null"))), "")</f>
        <v>Null</v>
      </c>
      <c r="AN9" s="29">
        <f>IF(ISNUMBER(Tabella2[[#This Row],[Mean SHEAR stress  (MPa)]]),  IF(AND(ISNUMBER(Tabella2[[#This Row],[Mean SHEAR stress  (MPa)]]), ISNUMBER(Tabella2[[#This Row],[Torsional moment of inertia (mm^4)]]), ISNUMBER(Tabella2[[#This Row],[Diameter (mm)]])), Tabella2[[#This Row],[Mean SHEAR stress  (MPa)]]*Tabella2[[#This Row],[Torsional moment of inertia (mm^4)]]/(0.5*Tabella2[[#This Row],[Diameter (mm)]]),"Null"), " ")</f>
        <v>0</v>
      </c>
      <c r="AO9" s="23">
        <f>IF(ISNUMBER(Tabella2[[#This Row],[Amplitute SHEAR stress  (MPa)]]), IF(AND(ISNUMBER(Tabella2[[#This Row],[Amplitute SHEAR stress  (MPa)]]), ISNUMBER(Tabella2[[#This Row],[Torsional moment of inertia (mm^4)]]), ISNUMBER(Tabella2[[#This Row],[Diameter (mm)]])),Tabella2[[#This Row],[Amplitute SHEAR stress  (MPa)]]*Tabella2[[#This Row],[Torsional moment of inertia (mm^4)]]/(0.5*Tabella2[[#This Row],[Diameter (mm)]]),"Null"), "")</f>
        <v>0</v>
      </c>
      <c r="AP9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9" s="4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283.2</v>
      </c>
    </row>
    <row r="10" spans="1:43" ht="20" customHeight="1" x14ac:dyDescent="0.2">
      <c r="A10" s="1" t="s">
        <v>62</v>
      </c>
      <c r="B10" s="1">
        <v>2018</v>
      </c>
      <c r="C10" s="1" t="s">
        <v>63</v>
      </c>
      <c r="D10" s="1" t="s">
        <v>73</v>
      </c>
      <c r="E10" s="28">
        <v>509000</v>
      </c>
      <c r="F10" s="1" t="s">
        <v>20</v>
      </c>
      <c r="G10" s="21" t="s">
        <v>65</v>
      </c>
      <c r="H10" s="1" t="e" vm="1">
        <v>#VALUE!</v>
      </c>
      <c r="I10" s="1" t="s">
        <v>92</v>
      </c>
      <c r="J10" s="1" t="s">
        <v>20</v>
      </c>
      <c r="K10" s="1" t="s">
        <v>21</v>
      </c>
      <c r="L10" s="1" t="s">
        <v>21</v>
      </c>
      <c r="M10" s="1">
        <v>9.11</v>
      </c>
      <c r="N10" s="1">
        <v>11.007999999999999</v>
      </c>
      <c r="O10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29.989615196834276</v>
      </c>
      <c r="P10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382.6827921127595</v>
      </c>
      <c r="Q10" s="2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765.365584225519</v>
      </c>
      <c r="R10" s="1">
        <v>0</v>
      </c>
      <c r="S10" s="1">
        <v>0</v>
      </c>
      <c r="T10" s="1">
        <v>0</v>
      </c>
      <c r="U10" s="28">
        <v>10</v>
      </c>
      <c r="V10" s="28">
        <v>10</v>
      </c>
      <c r="W10" s="28">
        <v>10</v>
      </c>
      <c r="X10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0" s="1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10" s="1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10" s="49">
        <v>0</v>
      </c>
      <c r="AB10" s="29">
        <v>0</v>
      </c>
      <c r="AC10" s="14">
        <v>0</v>
      </c>
      <c r="AD10" s="29">
        <v>289</v>
      </c>
      <c r="AE10" s="33" t="s">
        <v>58</v>
      </c>
      <c r="AF10" s="29">
        <v>0</v>
      </c>
      <c r="AG10" s="23">
        <v>0</v>
      </c>
      <c r="AH10" s="29">
        <f>IF(ISNUMBER(Tabella2[[#This Row],[Mean RADIAL stress  (MPa)]]), Tabella2[[#This Row],[Mean RADIAL stress  (MPa)]],"")</f>
        <v>0</v>
      </c>
      <c r="AI10" s="29">
        <f>IF(ISNUMBER(Tabella2[[#This Row],[Amplitute RADIAL stress  (MPa)]]), Tabella2[[#This Row],[Amplitute RADIAL stress  (MPa)]],"")</f>
        <v>0</v>
      </c>
      <c r="AJ10" s="29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10" s="29">
        <f>IF(ISNUMBER(Tabella2[[#This Row],[Amplitute AXIAL stress  (MPa)]]),    IF(Tabella2[[#This Row],[derived from (AXIAL/BENDING) load]]="AXIAL",Tabella2[[#This Row],[Amplitute AXIAL stress  (MPa)]]*Tabella2[[#This Row],[Area (mm^2)]],"Null"), "")</f>
        <v>8666.9987918851057</v>
      </c>
      <c r="AL10" s="29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Row],[Bending moment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Row],[Bending moment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Row],[Bending moment of inertia (mm^4)]]/(Tabella2[[#This Row],[B (mm)]]*0.5),"Null"))),"")</f>
        <v>Null</v>
      </c>
      <c r="AM10" s="29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Row],[Bending moment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Row],[Bending moment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Row],[Bending moment of inertia (mm^4)]]/(Tabella2[[#This Row],[B (mm)]]*0.5),"Null"))), "")</f>
        <v>Null</v>
      </c>
      <c r="AN10" s="29">
        <f>IF(ISNUMBER(Tabella2[[#This Row],[Mean SHEAR stress  (MPa)]]),  IF(AND(ISNUMBER(Tabella2[[#This Row],[Mean SHEAR stress  (MPa)]]), ISNUMBER(Tabella2[[#This Row],[Torsional moment of inertia (mm^4)]]), ISNUMBER(Tabella2[[#This Row],[Diameter (mm)]])), Tabella2[[#This Row],[Mean SHEAR stress  (MPa)]]*Tabella2[[#This Row],[Torsional moment of inertia (mm^4)]]/(0.5*Tabella2[[#This Row],[Diameter (mm)]]),"Null"), " ")</f>
        <v>0</v>
      </c>
      <c r="AO10" s="23">
        <f>IF(ISNUMBER(Tabella2[[#This Row],[Amplitute SHEAR stress  (MPa)]]), IF(AND(ISNUMBER(Tabella2[[#This Row],[Amplitute SHEAR stress  (MPa)]]), ISNUMBER(Tabella2[[#This Row],[Torsional moment of inertia (mm^4)]]), ISNUMBER(Tabella2[[#This Row],[Diameter (mm)]])),Tabella2[[#This Row],[Amplitute SHEAR stress  (MPa)]]*Tabella2[[#This Row],[Torsional moment of inertia (mm^4)]]/(0.5*Tabella2[[#This Row],[Diameter (mm)]]),"Null"), "")</f>
        <v>0</v>
      </c>
      <c r="AP10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10" s="4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289</v>
      </c>
    </row>
    <row r="11" spans="1:43" ht="20" customHeight="1" x14ac:dyDescent="0.2">
      <c r="A11" s="1" t="s">
        <v>62</v>
      </c>
      <c r="B11" s="1">
        <v>2018</v>
      </c>
      <c r="C11" s="1" t="s">
        <v>63</v>
      </c>
      <c r="D11" s="1" t="s">
        <v>74</v>
      </c>
      <c r="E11" s="28">
        <v>11000000</v>
      </c>
      <c r="F11" s="1" t="s">
        <v>32</v>
      </c>
      <c r="G11" s="21" t="s">
        <v>65</v>
      </c>
      <c r="H11" s="1" t="e" vm="1">
        <v>#VALUE!</v>
      </c>
      <c r="I11" s="1" t="s">
        <v>92</v>
      </c>
      <c r="J11" s="1" t="s">
        <v>20</v>
      </c>
      <c r="K11" s="1" t="s">
        <v>21</v>
      </c>
      <c r="L11" s="1" t="s">
        <v>21</v>
      </c>
      <c r="M11" s="1">
        <v>8.98</v>
      </c>
      <c r="N11" s="1">
        <v>10.994999999999999</v>
      </c>
      <c r="O11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31.611981552435992</v>
      </c>
      <c r="P11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398.17350483466151</v>
      </c>
      <c r="Q11" s="2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796.34700966932303</v>
      </c>
      <c r="R11" s="1">
        <v>0</v>
      </c>
      <c r="S11" s="1">
        <v>0</v>
      </c>
      <c r="T11" s="1">
        <v>0</v>
      </c>
      <c r="U11" s="28">
        <v>10</v>
      </c>
      <c r="V11" s="28">
        <v>10</v>
      </c>
      <c r="W11" s="28">
        <v>10</v>
      </c>
      <c r="X11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1" s="1" t="str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Null</v>
      </c>
      <c r="Z11" s="1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11" s="49">
        <v>0</v>
      </c>
      <c r="AB11" s="29">
        <v>0</v>
      </c>
      <c r="AC11" s="14">
        <v>0</v>
      </c>
      <c r="AD11" s="29">
        <v>0</v>
      </c>
      <c r="AE11" s="33" t="s">
        <v>58</v>
      </c>
      <c r="AF11" s="29">
        <v>0</v>
      </c>
      <c r="AG11" s="23">
        <v>138.6</v>
      </c>
      <c r="AH11" s="29">
        <f>IF(ISNUMBER(Tabella2[[#This Row],[Mean RADIAL stress  (MPa)]]), Tabella2[[#This Row],[Mean RADIAL stress  (MPa)]],"")</f>
        <v>0</v>
      </c>
      <c r="AI11" s="29">
        <f>IF(ISNUMBER(Tabella2[[#This Row],[Amplitute RADIAL stress  (MPa)]]), Tabella2[[#This Row],[Amplitute RADIAL stress  (MPa)]],"")</f>
        <v>0</v>
      </c>
      <c r="AJ11" s="29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11" s="29">
        <f>IF(ISNUMBER(Tabella2[[#This Row],[Amplitute AXIAL stress  (MPa)]]),    IF(Tabella2[[#This Row],[derived from (AXIAL/BENDING) load]]="AXIAL",Tabella2[[#This Row],[Amplitute AXIAL stress  (MPa)]]*Tabella2[[#This Row],[Area (mm^2)]],"Null"), "")</f>
        <v>0</v>
      </c>
      <c r="AL11" s="29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Row],[Bending moment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Row],[Bending moment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Row],[Bending moment of inertia (mm^4)]]/(Tabella2[[#This Row],[B (mm)]]*0.5),"Null"))),"")</f>
        <v>Null</v>
      </c>
      <c r="AM11" s="29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Row],[Bending moment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Row],[Bending moment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Row],[Bending moment of inertia (mm^4)]]/(Tabella2[[#This Row],[B (mm)]]*0.5),"Null"))), "")</f>
        <v>Null</v>
      </c>
      <c r="AN11" s="29">
        <f>IF(ISNUMBER(Tabella2[[#This Row],[Mean SHEAR stress  (MPa)]]),  IF(AND(ISNUMBER(Tabella2[[#This Row],[Mean SHEAR stress  (MPa)]]), ISNUMBER(Tabella2[[#This Row],[Torsional moment of inertia (mm^4)]]), ISNUMBER(Tabella2[[#This Row],[Diameter (mm)]])), Tabella2[[#This Row],[Mean SHEAR stress  (MPa)]]*Tabella2[[#This Row],[Torsional moment of inertia (mm^4)]]/(0.5*Tabella2[[#This Row],[Diameter (mm)]]),"Null"), " ")</f>
        <v>0</v>
      </c>
      <c r="AO11" s="23">
        <f>IF(ISNUMBER(Tabella2[[#This Row],[Amplitute SHEAR stress  (MPa)]]), IF(AND(ISNUMBER(Tabella2[[#This Row],[Amplitute SHEAR stress  (MPa)]]), ISNUMBER(Tabella2[[#This Row],[Torsional moment of inertia (mm^4)]]), ISNUMBER(Tabella2[[#This Row],[Diameter (mm)]])),Tabella2[[#This Row],[Amplitute SHEAR stress  (MPa)]]*Tabella2[[#This Row],[Torsional moment of inertia (mm^4)]]/(0.5*Tabella2[[#This Row],[Diameter (mm)]]),"Null"), "")</f>
        <v>20077.070584841869</v>
      </c>
      <c r="AP11" s="54" t="str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Q11" s="4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240.06224192904639</v>
      </c>
    </row>
    <row r="12" spans="1:43" ht="20" customHeight="1" x14ac:dyDescent="0.2">
      <c r="A12" s="1" t="s">
        <v>62</v>
      </c>
      <c r="B12" s="1">
        <v>2018</v>
      </c>
      <c r="C12" s="1" t="s">
        <v>63</v>
      </c>
      <c r="D12" s="1" t="s">
        <v>75</v>
      </c>
      <c r="E12" s="28">
        <v>11000000</v>
      </c>
      <c r="F12" s="1" t="s">
        <v>32</v>
      </c>
      <c r="G12" s="21" t="s">
        <v>65</v>
      </c>
      <c r="H12" s="1" t="e" vm="1">
        <v>#VALUE!</v>
      </c>
      <c r="I12" s="1" t="s">
        <v>92</v>
      </c>
      <c r="J12" s="1" t="s">
        <v>20</v>
      </c>
      <c r="K12" s="1" t="s">
        <v>21</v>
      </c>
      <c r="L12" s="1" t="s">
        <v>21</v>
      </c>
      <c r="M12" s="1">
        <v>8.98</v>
      </c>
      <c r="N12" s="1">
        <v>10.997999999999999</v>
      </c>
      <c r="O12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31.663801337858793</v>
      </c>
      <c r="P12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398.95678041767007</v>
      </c>
      <c r="Q12" s="2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797.91356083534015</v>
      </c>
      <c r="R12" s="1">
        <v>0</v>
      </c>
      <c r="S12" s="1">
        <v>0</v>
      </c>
      <c r="T12" s="1">
        <v>0</v>
      </c>
      <c r="U12" s="28">
        <v>10</v>
      </c>
      <c r="V12" s="28">
        <v>10</v>
      </c>
      <c r="W12" s="28">
        <v>10</v>
      </c>
      <c r="X12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2" s="1" t="str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Null</v>
      </c>
      <c r="Z12" s="1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12" s="49">
        <v>0</v>
      </c>
      <c r="AB12" s="29">
        <v>0</v>
      </c>
      <c r="AC12" s="14">
        <v>0</v>
      </c>
      <c r="AD12" s="29">
        <v>0</v>
      </c>
      <c r="AE12" s="33" t="s">
        <v>58</v>
      </c>
      <c r="AF12" s="29">
        <v>0</v>
      </c>
      <c r="AG12" s="54">
        <v>144.30000000000001</v>
      </c>
      <c r="AH12" s="29">
        <f>IF(ISNUMBER(Tabella2[[#This Row],[Mean RADIAL stress  (MPa)]]), Tabella2[[#This Row],[Mean RADIAL stress  (MPa)]],"")</f>
        <v>0</v>
      </c>
      <c r="AI12" s="29">
        <f>IF(ISNUMBER(Tabella2[[#This Row],[Amplitute RADIAL stress  (MPa)]]), Tabella2[[#This Row],[Amplitute RADIAL stress  (MPa)]],"")</f>
        <v>0</v>
      </c>
      <c r="AJ12" s="29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12" s="29">
        <f>IF(ISNUMBER(Tabella2[[#This Row],[Amplitute AXIAL stress  (MPa)]]),    IF(Tabella2[[#This Row],[derived from (AXIAL/BENDING) load]]="AXIAL",Tabella2[[#This Row],[Amplitute AXIAL stress  (MPa)]]*Tabella2[[#This Row],[Area (mm^2)]],"Null"), "")</f>
        <v>0</v>
      </c>
      <c r="AL12" s="29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Row],[Bending moment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Row],[Bending moment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Row],[Bending moment of inertia (mm^4)]]/(Tabella2[[#This Row],[B (mm)]]*0.5),"Null"))),"")</f>
        <v>Null</v>
      </c>
      <c r="AM12" s="29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Row],[Bending moment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Row],[Bending moment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Row],[Bending moment of inertia (mm^4)]]/(Tabella2[[#This Row],[B (mm)]]*0.5),"Null"))), "")</f>
        <v>Null</v>
      </c>
      <c r="AN12" s="29">
        <f>IF(ISNUMBER(Tabella2[[#This Row],[Mean SHEAR stress  (MPa)]]),  IF(AND(ISNUMBER(Tabella2[[#This Row],[Mean SHEAR stress  (MPa)]]), ISNUMBER(Tabella2[[#This Row],[Torsional moment of inertia (mm^4)]]), ISNUMBER(Tabella2[[#This Row],[Diameter (mm)]])), Tabella2[[#This Row],[Mean SHEAR stress  (MPa)]]*Tabella2[[#This Row],[Torsional moment of inertia (mm^4)]]/(0.5*Tabella2[[#This Row],[Diameter (mm)]]),"Null"), " ")</f>
        <v>0</v>
      </c>
      <c r="AO12" s="23">
        <f>IF(ISNUMBER(Tabella2[[#This Row],[Amplitute SHEAR stress  (MPa)]]), IF(AND(ISNUMBER(Tabella2[[#This Row],[Amplitute SHEAR stress  (MPa)]]), ISNUMBER(Tabella2[[#This Row],[Torsional moment of inertia (mm^4)]]), ISNUMBER(Tabella2[[#This Row],[Diameter (mm)]])),Tabella2[[#This Row],[Amplitute SHEAR stress  (MPa)]]*Tabella2[[#This Row],[Torsional moment of inertia (mm^4)]]/(0.5*Tabella2[[#This Row],[Diameter (mm)]]),"Null"), "")</f>
        <v>20938.157270147229</v>
      </c>
      <c r="AP12" s="54" t="str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Q12" s="4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249.93493153218898</v>
      </c>
    </row>
    <row r="13" spans="1:43" ht="20" customHeight="1" x14ac:dyDescent="0.2">
      <c r="A13" s="1" t="s">
        <v>62</v>
      </c>
      <c r="B13" s="1">
        <v>2018</v>
      </c>
      <c r="C13" s="1" t="s">
        <v>63</v>
      </c>
      <c r="D13" s="1" t="s">
        <v>76</v>
      </c>
      <c r="E13" s="28">
        <v>445000</v>
      </c>
      <c r="F13" s="1" t="s">
        <v>20</v>
      </c>
      <c r="G13" s="21" t="s">
        <v>65</v>
      </c>
      <c r="H13" s="1" t="e" vm="1">
        <v>#VALUE!</v>
      </c>
      <c r="I13" s="1" t="s">
        <v>92</v>
      </c>
      <c r="J13" s="1" t="s">
        <v>20</v>
      </c>
      <c r="K13" s="1" t="s">
        <v>21</v>
      </c>
      <c r="L13" s="1" t="s">
        <v>21</v>
      </c>
      <c r="M13" s="1">
        <v>9.11</v>
      </c>
      <c r="N13" s="1">
        <v>10.992000000000001</v>
      </c>
      <c r="O13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29.713155043318402</v>
      </c>
      <c r="P13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378.50133007915065</v>
      </c>
      <c r="Q13" s="2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757.0026601583013</v>
      </c>
      <c r="R13" s="1">
        <v>0</v>
      </c>
      <c r="S13" s="1">
        <v>0</v>
      </c>
      <c r="T13" s="1">
        <v>0</v>
      </c>
      <c r="U13" s="28">
        <v>10</v>
      </c>
      <c r="V13" s="28">
        <v>10</v>
      </c>
      <c r="W13" s="28">
        <v>10</v>
      </c>
      <c r="X13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3" s="1" t="str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Null</v>
      </c>
      <c r="Z13" s="1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13" s="49">
        <v>0</v>
      </c>
      <c r="AB13" s="29">
        <v>0</v>
      </c>
      <c r="AC13" s="14">
        <v>0</v>
      </c>
      <c r="AD13" s="29">
        <v>0</v>
      </c>
      <c r="AE13" s="33" t="s">
        <v>58</v>
      </c>
      <c r="AF13" s="29">
        <v>0</v>
      </c>
      <c r="AG13" s="54">
        <v>144.30000000000001</v>
      </c>
      <c r="AH13" s="29">
        <f>IF(ISNUMBER(Tabella2[[#This Row],[Mean RADIAL stress  (MPa)]]), Tabella2[[#This Row],[Mean RADIAL stress  (MPa)]],"")</f>
        <v>0</v>
      </c>
      <c r="AI13" s="29">
        <f>IF(ISNUMBER(Tabella2[[#This Row],[Amplitute RADIAL stress  (MPa)]]), Tabella2[[#This Row],[Amplitute RADIAL stress  (MPa)]],"")</f>
        <v>0</v>
      </c>
      <c r="AJ13" s="29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13" s="29">
        <f>IF(ISNUMBER(Tabella2[[#This Row],[Amplitute AXIAL stress  (MPa)]]),    IF(Tabella2[[#This Row],[derived from (AXIAL/BENDING) load]]="AXIAL",Tabella2[[#This Row],[Amplitute AXIAL stress  (MPa)]]*Tabella2[[#This Row],[Area (mm^2)]],"Null"), "")</f>
        <v>0</v>
      </c>
      <c r="AL13" s="29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Row],[Bending moment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Row],[Bending moment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Row],[Bending moment of inertia (mm^4)]]/(Tabella2[[#This Row],[B (mm)]]*0.5),"Null"))),"")</f>
        <v>Null</v>
      </c>
      <c r="AM13" s="29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Row],[Bending moment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Row],[Bending moment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Row],[Bending moment of inertia (mm^4)]]/(Tabella2[[#This Row],[B (mm)]]*0.5),"Null"))), "")</f>
        <v>Null</v>
      </c>
      <c r="AN13" s="29">
        <f>IF(ISNUMBER(Tabella2[[#This Row],[Mean SHEAR stress  (MPa)]]),  IF(AND(ISNUMBER(Tabella2[[#This Row],[Mean SHEAR stress  (MPa)]]), ISNUMBER(Tabella2[[#This Row],[Torsional moment of inertia (mm^4)]]), ISNUMBER(Tabella2[[#This Row],[Diameter (mm)]])), Tabella2[[#This Row],[Mean SHEAR stress  (MPa)]]*Tabella2[[#This Row],[Torsional moment of inertia (mm^4)]]/(0.5*Tabella2[[#This Row],[Diameter (mm)]]),"Null"), " ")</f>
        <v>0</v>
      </c>
      <c r="AO13" s="23">
        <f>IF(ISNUMBER(Tabella2[[#This Row],[Amplitute SHEAR stress  (MPa)]]), IF(AND(ISNUMBER(Tabella2[[#This Row],[Amplitute SHEAR stress  (MPa)]]), ISNUMBER(Tabella2[[#This Row],[Torsional moment of inertia (mm^4)]]), ISNUMBER(Tabella2[[#This Row],[Diameter (mm)]])),Tabella2[[#This Row],[Amplitute SHEAR stress  (MPa)]]*Tabella2[[#This Row],[Torsional moment of inertia (mm^4)]]/(0.5*Tabella2[[#This Row],[Diameter (mm)]]),"Null"), "")</f>
        <v>19875.451939745792</v>
      </c>
      <c r="AP13" s="54" t="str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Q13" s="4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249.93493153218898</v>
      </c>
    </row>
    <row r="14" spans="1:43" ht="20" customHeight="1" x14ac:dyDescent="0.2">
      <c r="A14" s="1" t="s">
        <v>62</v>
      </c>
      <c r="B14" s="1">
        <v>2018</v>
      </c>
      <c r="C14" s="1" t="s">
        <v>63</v>
      </c>
      <c r="D14" s="1" t="s">
        <v>77</v>
      </c>
      <c r="E14" s="28">
        <v>2165000</v>
      </c>
      <c r="F14" s="1" t="s">
        <v>20</v>
      </c>
      <c r="G14" s="21" t="s">
        <v>65</v>
      </c>
      <c r="H14" s="1" t="e" vm="1">
        <v>#VALUE!</v>
      </c>
      <c r="I14" s="1" t="s">
        <v>92</v>
      </c>
      <c r="J14" s="1" t="s">
        <v>20</v>
      </c>
      <c r="K14" s="1" t="s">
        <v>21</v>
      </c>
      <c r="L14" s="1" t="s">
        <v>21</v>
      </c>
      <c r="M14" s="1">
        <v>8.99</v>
      </c>
      <c r="N14" s="1">
        <v>10.997999999999999</v>
      </c>
      <c r="O14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31.522665287896274</v>
      </c>
      <c r="P14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397.53253684298426</v>
      </c>
      <c r="Q14" s="2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795.06507368596851</v>
      </c>
      <c r="R14" s="1">
        <v>0</v>
      </c>
      <c r="S14" s="1">
        <v>0</v>
      </c>
      <c r="T14" s="1">
        <v>0</v>
      </c>
      <c r="U14" s="28">
        <v>10</v>
      </c>
      <c r="V14" s="28">
        <v>10</v>
      </c>
      <c r="W14" s="28">
        <v>10</v>
      </c>
      <c r="X14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4" s="1" t="str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Null</v>
      </c>
      <c r="Z14" s="1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14" s="49">
        <v>0</v>
      </c>
      <c r="AB14" s="29">
        <v>0</v>
      </c>
      <c r="AC14" s="14">
        <v>0</v>
      </c>
      <c r="AD14" s="29">
        <v>0</v>
      </c>
      <c r="AE14" s="33" t="s">
        <v>58</v>
      </c>
      <c r="AF14" s="29">
        <v>0</v>
      </c>
      <c r="AG14" s="54">
        <v>144.30000000000001</v>
      </c>
      <c r="AH14" s="29">
        <f>IF(ISNUMBER(Tabella2[[#This Row],[Mean RADIAL stress  (MPa)]]), Tabella2[[#This Row],[Mean RADIAL stress  (MPa)]],"")</f>
        <v>0</v>
      </c>
      <c r="AI14" s="29">
        <f>IF(ISNUMBER(Tabella2[[#This Row],[Amplitute RADIAL stress  (MPa)]]), Tabella2[[#This Row],[Amplitute RADIAL stress  (MPa)]],"")</f>
        <v>0</v>
      </c>
      <c r="AJ14" s="29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14" s="29">
        <f>IF(ISNUMBER(Tabella2[[#This Row],[Amplitute AXIAL stress  (MPa)]]),    IF(Tabella2[[#This Row],[derived from (AXIAL/BENDING) load]]="AXIAL",Tabella2[[#This Row],[Amplitute AXIAL stress  (MPa)]]*Tabella2[[#This Row],[Area (mm^2)]],"Null"), "")</f>
        <v>0</v>
      </c>
      <c r="AL14" s="29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Row],[Bending moment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Row],[Bending moment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Row],[Bending moment of inertia (mm^4)]]/(Tabella2[[#This Row],[B (mm)]]*0.5),"Null"))),"")</f>
        <v>Null</v>
      </c>
      <c r="AM14" s="29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Row],[Bending moment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Row],[Bending moment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Row],[Bending moment of inertia (mm^4)]]/(Tabella2[[#This Row],[B (mm)]]*0.5),"Null"))), "")</f>
        <v>Null</v>
      </c>
      <c r="AN14" s="29">
        <f>IF(ISNUMBER(Tabella2[[#This Row],[Mean SHEAR stress  (MPa)]]),  IF(AND(ISNUMBER(Tabella2[[#This Row],[Mean SHEAR stress  (MPa)]]), ISNUMBER(Tabella2[[#This Row],[Torsional moment of inertia (mm^4)]]), ISNUMBER(Tabella2[[#This Row],[Diameter (mm)]])), Tabella2[[#This Row],[Mean SHEAR stress  (MPa)]]*Tabella2[[#This Row],[Torsional moment of inertia (mm^4)]]/(0.5*Tabella2[[#This Row],[Diameter (mm)]]),"Null"), " ")</f>
        <v>0</v>
      </c>
      <c r="AO14" s="23">
        <f>IF(ISNUMBER(Tabella2[[#This Row],[Amplitute SHEAR stress  (MPa)]]), IF(AND(ISNUMBER(Tabella2[[#This Row],[Amplitute SHEAR stress  (MPa)]]), ISNUMBER(Tabella2[[#This Row],[Torsional moment of inertia (mm^4)]]), ISNUMBER(Tabella2[[#This Row],[Diameter (mm)]])),Tabella2[[#This Row],[Amplitute SHEAR stress  (MPa)]]*Tabella2[[#This Row],[Torsional moment of inertia (mm^4)]]/(0.5*Tabella2[[#This Row],[Diameter (mm)]]),"Null"), "")</f>
        <v>20863.409735021873</v>
      </c>
      <c r="AP14" s="54" t="str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Q14" s="4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249.93493153218898</v>
      </c>
    </row>
    <row r="15" spans="1:43" ht="20" customHeight="1" x14ac:dyDescent="0.2">
      <c r="A15" s="1" t="s">
        <v>62</v>
      </c>
      <c r="B15" s="1">
        <v>2018</v>
      </c>
      <c r="C15" s="1" t="s">
        <v>63</v>
      </c>
      <c r="D15" s="1" t="s">
        <v>78</v>
      </c>
      <c r="E15" s="28">
        <v>849000</v>
      </c>
      <c r="F15" s="1" t="s">
        <v>20</v>
      </c>
      <c r="G15" s="21" t="s">
        <v>65</v>
      </c>
      <c r="H15" s="1" t="e" vm="1">
        <v>#VALUE!</v>
      </c>
      <c r="I15" s="1" t="s">
        <v>92</v>
      </c>
      <c r="J15" s="1" t="s">
        <v>20</v>
      </c>
      <c r="K15" s="1" t="s">
        <v>21</v>
      </c>
      <c r="L15" s="1" t="s">
        <v>21</v>
      </c>
      <c r="M15" s="1">
        <v>9.11</v>
      </c>
      <c r="N15" s="1">
        <v>10.993</v>
      </c>
      <c r="O15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29.730422021940687</v>
      </c>
      <c r="P15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378.7621371213267</v>
      </c>
      <c r="Q15" s="2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757.52427424265341</v>
      </c>
      <c r="R15" s="1">
        <v>0</v>
      </c>
      <c r="S15" s="1">
        <v>0</v>
      </c>
      <c r="T15" s="1">
        <v>0</v>
      </c>
      <c r="U15" s="28">
        <v>10</v>
      </c>
      <c r="V15" s="28">
        <v>10</v>
      </c>
      <c r="W15" s="28">
        <v>10</v>
      </c>
      <c r="X15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5" s="1" t="str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Null</v>
      </c>
      <c r="Z15" s="1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15" s="49">
        <v>0</v>
      </c>
      <c r="AB15" s="29">
        <v>0</v>
      </c>
      <c r="AC15" s="14">
        <v>0</v>
      </c>
      <c r="AD15" s="29">
        <v>0</v>
      </c>
      <c r="AE15" s="33" t="s">
        <v>58</v>
      </c>
      <c r="AF15" s="29">
        <v>0</v>
      </c>
      <c r="AG15" s="54">
        <v>147.19999999999999</v>
      </c>
      <c r="AH15" s="29">
        <f>IF(ISNUMBER(Tabella2[[#This Row],[Mean RADIAL stress  (MPa)]]), Tabella2[[#This Row],[Mean RADIAL stress  (MPa)]],"")</f>
        <v>0</v>
      </c>
      <c r="AI15" s="29">
        <f>IF(ISNUMBER(Tabella2[[#This Row],[Amplitute RADIAL stress  (MPa)]]), Tabella2[[#This Row],[Amplitute RADIAL stress  (MPa)]],"")</f>
        <v>0</v>
      </c>
      <c r="AJ15" s="29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15" s="29">
        <f>IF(ISNUMBER(Tabella2[[#This Row],[Amplitute AXIAL stress  (MPa)]]),    IF(Tabella2[[#This Row],[derived from (AXIAL/BENDING) load]]="AXIAL",Tabella2[[#This Row],[Amplitute AXIAL stress  (MPa)]]*Tabella2[[#This Row],[Area (mm^2)]],"Null"), "")</f>
        <v>0</v>
      </c>
      <c r="AL15" s="29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Row],[Bending moment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Row],[Bending moment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Row],[Bending moment of inertia (mm^4)]]/(Tabella2[[#This Row],[B (mm)]]*0.5),"Null"))),"")</f>
        <v>Null</v>
      </c>
      <c r="AM15" s="29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Row],[Bending moment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Row],[Bending moment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Row],[Bending moment of inertia (mm^4)]]/(Tabella2[[#This Row],[B (mm)]]*0.5),"Null"))), "")</f>
        <v>Null</v>
      </c>
      <c r="AN15" s="29">
        <f>IF(ISNUMBER(Tabella2[[#This Row],[Mean SHEAR stress  (MPa)]]),  IF(AND(ISNUMBER(Tabella2[[#This Row],[Mean SHEAR stress  (MPa)]]), ISNUMBER(Tabella2[[#This Row],[Torsional moment of inertia (mm^4)]]), ISNUMBER(Tabella2[[#This Row],[Diameter (mm)]])), Tabella2[[#This Row],[Mean SHEAR stress  (MPa)]]*Tabella2[[#This Row],[Torsional moment of inertia (mm^4)]]/(0.5*Tabella2[[#This Row],[Diameter (mm)]]),"Null"), " ")</f>
        <v>0</v>
      </c>
      <c r="AO15" s="23">
        <f>IF(ISNUMBER(Tabella2[[#This Row],[Amplitute SHEAR stress  (MPa)]]), IF(AND(ISNUMBER(Tabella2[[#This Row],[Amplitute SHEAR stress  (MPa)]]), ISNUMBER(Tabella2[[#This Row],[Torsional moment of inertia (mm^4)]]), ISNUMBER(Tabella2[[#This Row],[Diameter (mm)]])),Tabella2[[#This Row],[Amplitute SHEAR stress  (MPa)]]*Tabella2[[#This Row],[Torsional moment of inertia (mm^4)]]/(0.5*Tabella2[[#This Row],[Diameter (mm)]]),"Null"), "")</f>
        <v>20287.014130540992</v>
      </c>
      <c r="AP15" s="54" t="str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Q15" s="4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254.95787887413871</v>
      </c>
    </row>
    <row r="16" spans="1:43" ht="20" customHeight="1" x14ac:dyDescent="0.2">
      <c r="A16" s="1" t="s">
        <v>62</v>
      </c>
      <c r="B16" s="1">
        <v>2018</v>
      </c>
      <c r="C16" s="1" t="s">
        <v>63</v>
      </c>
      <c r="D16" s="1" t="s">
        <v>79</v>
      </c>
      <c r="E16" s="28">
        <v>474000</v>
      </c>
      <c r="F16" s="1" t="s">
        <v>20</v>
      </c>
      <c r="G16" s="21" t="s">
        <v>65</v>
      </c>
      <c r="H16" s="1" t="e" vm="3">
        <v>#VALUE!</v>
      </c>
      <c r="I16" s="1" t="s">
        <v>92</v>
      </c>
      <c r="J16" s="1" t="s">
        <v>20</v>
      </c>
      <c r="K16" s="1" t="s">
        <v>21</v>
      </c>
      <c r="L16" s="1" t="s">
        <v>21</v>
      </c>
      <c r="M16" s="1">
        <v>8.98</v>
      </c>
      <c r="N16" s="1">
        <v>11</v>
      </c>
      <c r="O16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31.698355715455644</v>
      </c>
      <c r="P16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399.47932036292264</v>
      </c>
      <c r="Q16" s="2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798.95864072584527</v>
      </c>
      <c r="R16" s="1">
        <v>0</v>
      </c>
      <c r="S16" s="1">
        <v>0</v>
      </c>
      <c r="T16" s="1">
        <v>0</v>
      </c>
      <c r="U16" s="28">
        <v>10</v>
      </c>
      <c r="V16" s="28">
        <v>10</v>
      </c>
      <c r="W16" s="28">
        <v>10</v>
      </c>
      <c r="X16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6" s="1" t="str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Null</v>
      </c>
      <c r="Z16" s="1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16" s="49">
        <v>0</v>
      </c>
      <c r="AB16" s="29">
        <v>0</v>
      </c>
      <c r="AC16" s="14">
        <v>0</v>
      </c>
      <c r="AD16" s="29">
        <v>0</v>
      </c>
      <c r="AE16" s="33" t="s">
        <v>58</v>
      </c>
      <c r="AF16" s="29">
        <v>0</v>
      </c>
      <c r="AG16" s="54">
        <v>150.1</v>
      </c>
      <c r="AH16" s="29">
        <f>IF(ISNUMBER(Tabella2[[#This Row],[Mean RADIAL stress  (MPa)]]), Tabella2[[#This Row],[Mean RADIAL stress  (MPa)]],"")</f>
        <v>0</v>
      </c>
      <c r="AI16" s="29">
        <f>IF(ISNUMBER(Tabella2[[#This Row],[Amplitute RADIAL stress  (MPa)]]), Tabella2[[#This Row],[Amplitute RADIAL stress  (MPa)]],"")</f>
        <v>0</v>
      </c>
      <c r="AJ16" s="29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16" s="29">
        <f>IF(ISNUMBER(Tabella2[[#This Row],[Amplitute AXIAL stress  (MPa)]]),    IF(Tabella2[[#This Row],[derived from (AXIAL/BENDING) load]]="AXIAL",Tabella2[[#This Row],[Amplitute AXIAL stress  (MPa)]]*Tabella2[[#This Row],[Area (mm^2)]],"Null"), "")</f>
        <v>0</v>
      </c>
      <c r="AL16" s="29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Row],[Bending moment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Row],[Bending moment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Row],[Bending moment of inertia (mm^4)]]/(Tabella2[[#This Row],[B (mm)]]*0.5),"Null"))),"")</f>
        <v>Null</v>
      </c>
      <c r="AM16" s="29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Row],[Bending moment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Row],[Bending moment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Row],[Bending moment of inertia (mm^4)]]/(Tabella2[[#This Row],[B (mm)]]*0.5),"Null"))), "")</f>
        <v>Null</v>
      </c>
      <c r="AN16" s="29">
        <f>IF(ISNUMBER(Tabella2[[#This Row],[Mean SHEAR stress  (MPa)]]),  IF(AND(ISNUMBER(Tabella2[[#This Row],[Mean SHEAR stress  (MPa)]]), ISNUMBER(Tabella2[[#This Row],[Torsional moment of inertia (mm^4)]]), ISNUMBER(Tabella2[[#This Row],[Diameter (mm)]])), Tabella2[[#This Row],[Mean SHEAR stress  (MPa)]]*Tabella2[[#This Row],[Torsional moment of inertia (mm^4)]]/(0.5*Tabella2[[#This Row],[Diameter (mm)]]),"Null"), " ")</f>
        <v>0</v>
      </c>
      <c r="AO16" s="23">
        <f>IF(ISNUMBER(Tabella2[[#This Row],[Amplitute SHEAR stress  (MPa)]]), IF(AND(ISNUMBER(Tabella2[[#This Row],[Amplitute SHEAR stress  (MPa)]]), ISNUMBER(Tabella2[[#This Row],[Torsional moment of inertia (mm^4)]]), ISNUMBER(Tabella2[[#This Row],[Diameter (mm)]])),Tabella2[[#This Row],[Amplitute SHEAR stress  (MPa)]]*Tabella2[[#This Row],[Torsional moment of inertia (mm^4)]]/(0.5*Tabella2[[#This Row],[Diameter (mm)]]),"Null"), "")</f>
        <v>21804.307631445339</v>
      </c>
      <c r="AP16" s="54" t="str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Q16" s="4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259.98082621608847</v>
      </c>
    </row>
    <row r="17" spans="1:43" ht="20" customHeight="1" x14ac:dyDescent="0.2">
      <c r="A17" s="1" t="s">
        <v>62</v>
      </c>
      <c r="B17" s="1">
        <v>2018</v>
      </c>
      <c r="C17" s="1" t="s">
        <v>63</v>
      </c>
      <c r="D17" s="1" t="s">
        <v>80</v>
      </c>
      <c r="E17" s="28">
        <v>198000</v>
      </c>
      <c r="F17" s="1" t="s">
        <v>20</v>
      </c>
      <c r="G17" s="21" t="s">
        <v>65</v>
      </c>
      <c r="H17" s="1" t="e" vm="1">
        <v>#VALUE!</v>
      </c>
      <c r="I17" s="1" t="s">
        <v>92</v>
      </c>
      <c r="J17" s="1" t="s">
        <v>20</v>
      </c>
      <c r="K17" s="1" t="s">
        <v>21</v>
      </c>
      <c r="L17" s="1" t="s">
        <v>21</v>
      </c>
      <c r="M17" s="1">
        <v>8.99</v>
      </c>
      <c r="N17" s="1">
        <v>10.999000000000001</v>
      </c>
      <c r="O17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31.539941691296548</v>
      </c>
      <c r="P17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397.79377118464822</v>
      </c>
      <c r="Q17" s="2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795.58754236929644</v>
      </c>
      <c r="R17" s="1">
        <v>0</v>
      </c>
      <c r="S17" s="1">
        <v>0</v>
      </c>
      <c r="T17" s="1">
        <v>0</v>
      </c>
      <c r="U17" s="28">
        <v>10</v>
      </c>
      <c r="V17" s="28">
        <v>10</v>
      </c>
      <c r="W17" s="28">
        <v>10</v>
      </c>
      <c r="X17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7" s="1" t="str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Null</v>
      </c>
      <c r="Z17" s="1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17" s="49">
        <v>0</v>
      </c>
      <c r="AB17" s="29">
        <v>0</v>
      </c>
      <c r="AC17" s="14">
        <v>0</v>
      </c>
      <c r="AD17" s="29">
        <v>0</v>
      </c>
      <c r="AE17" s="33" t="s">
        <v>58</v>
      </c>
      <c r="AF17" s="29">
        <v>0</v>
      </c>
      <c r="AG17" s="54">
        <v>153</v>
      </c>
      <c r="AH17" s="29">
        <f>IF(ISNUMBER(Tabella2[[#This Row],[Mean RADIAL stress  (MPa)]]), Tabella2[[#This Row],[Mean RADIAL stress  (MPa)]],"")</f>
        <v>0</v>
      </c>
      <c r="AI17" s="29">
        <f>IF(ISNUMBER(Tabella2[[#This Row],[Amplitute RADIAL stress  (MPa)]]), Tabella2[[#This Row],[Amplitute RADIAL stress  (MPa)]],"")</f>
        <v>0</v>
      </c>
      <c r="AJ17" s="29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17" s="29">
        <f>IF(ISNUMBER(Tabella2[[#This Row],[Amplitute AXIAL stress  (MPa)]]),    IF(Tabella2[[#This Row],[derived from (AXIAL/BENDING) load]]="AXIAL",Tabella2[[#This Row],[Amplitute AXIAL stress  (MPa)]]*Tabella2[[#This Row],[Area (mm^2)]],"Null"), "")</f>
        <v>0</v>
      </c>
      <c r="AL17" s="29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Row],[Bending moment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Row],[Bending moment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Row],[Bending moment of inertia (mm^4)]]/(Tabella2[[#This Row],[B (mm)]]*0.5),"Null"))),"")</f>
        <v>Null</v>
      </c>
      <c r="AM17" s="29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Row],[Bending moment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Row],[Bending moment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Row],[Bending moment of inertia (mm^4)]]/(Tabella2[[#This Row],[B (mm)]]*0.5),"Null"))), "")</f>
        <v>Null</v>
      </c>
      <c r="AN17" s="29">
        <f>IF(ISNUMBER(Tabella2[[#This Row],[Mean SHEAR stress  (MPa)]]),  IF(AND(ISNUMBER(Tabella2[[#This Row],[Mean SHEAR stress  (MPa)]]), ISNUMBER(Tabella2[[#This Row],[Torsional moment of inertia (mm^4)]]), ISNUMBER(Tabella2[[#This Row],[Diameter (mm)]])), Tabella2[[#This Row],[Mean SHEAR stress  (MPa)]]*Tabella2[[#This Row],[Torsional moment of inertia (mm^4)]]/(0.5*Tabella2[[#This Row],[Diameter (mm)]]),"Null"), " ")</f>
        <v>0</v>
      </c>
      <c r="AO17" s="23">
        <f>IF(ISNUMBER(Tabella2[[#This Row],[Amplitute SHEAR stress  (MPa)]]), IF(AND(ISNUMBER(Tabella2[[#This Row],[Amplitute SHEAR stress  (MPa)]]), ISNUMBER(Tabella2[[#This Row],[Torsional moment of inertia (mm^4)]]), ISNUMBER(Tabella2[[#This Row],[Diameter (mm)]])),Tabella2[[#This Row],[Amplitute SHEAR stress  (MPa)]]*Tabella2[[#This Row],[Torsional moment of inertia (mm^4)]]/(0.5*Tabella2[[#This Row],[Diameter (mm)]]),"Null"), "")</f>
        <v>22133.811070552296</v>
      </c>
      <c r="AP17" s="54" t="str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Q17" s="4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265.00377355803823</v>
      </c>
    </row>
    <row r="18" spans="1:43" ht="20" customHeight="1" x14ac:dyDescent="0.2">
      <c r="A18" s="1" t="s">
        <v>62</v>
      </c>
      <c r="B18" s="1">
        <v>2018</v>
      </c>
      <c r="C18" s="1" t="s">
        <v>63</v>
      </c>
      <c r="D18" s="1" t="s">
        <v>81</v>
      </c>
      <c r="E18" s="28">
        <v>11000000</v>
      </c>
      <c r="F18" s="1" t="s">
        <v>32</v>
      </c>
      <c r="G18" s="21" t="s">
        <v>65</v>
      </c>
      <c r="H18" s="1" t="e" vm="1">
        <v>#VALUE!</v>
      </c>
      <c r="I18" s="1" t="s">
        <v>92</v>
      </c>
      <c r="J18" s="1" t="s">
        <v>20</v>
      </c>
      <c r="K18" s="1" t="s">
        <v>21</v>
      </c>
      <c r="L18" s="1" t="s">
        <v>21</v>
      </c>
      <c r="M18" s="1">
        <v>9</v>
      </c>
      <c r="N18" s="1">
        <v>10.994</v>
      </c>
      <c r="O18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31.312282252663341</v>
      </c>
      <c r="P18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395.05930756392524</v>
      </c>
      <c r="Q18" s="2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790.11861512785049</v>
      </c>
      <c r="R18" s="1">
        <v>0</v>
      </c>
      <c r="S18" s="1">
        <v>0</v>
      </c>
      <c r="T18" s="1">
        <v>90</v>
      </c>
      <c r="U18" s="28">
        <v>10</v>
      </c>
      <c r="V18" s="28">
        <v>10</v>
      </c>
      <c r="W18" s="28">
        <v>10</v>
      </c>
      <c r="X18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8" s="1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18" s="1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18" s="49">
        <v>0</v>
      </c>
      <c r="AB18" s="29">
        <v>0</v>
      </c>
      <c r="AC18" s="14">
        <v>0</v>
      </c>
      <c r="AD18" s="29">
        <v>196.1</v>
      </c>
      <c r="AE18" s="33" t="s">
        <v>58</v>
      </c>
      <c r="AF18" s="29">
        <v>0</v>
      </c>
      <c r="AG18" s="21">
        <v>98</v>
      </c>
      <c r="AH18" s="29">
        <f>IF(ISNUMBER(Tabella2[[#This Row],[Mean RADIAL stress  (MPa)]]), Tabella2[[#This Row],[Mean RADIAL stress  (MPa)]],"")</f>
        <v>0</v>
      </c>
      <c r="AI18" s="29">
        <f>IF(ISNUMBER(Tabella2[[#This Row],[Amplitute RADIAL stress  (MPa)]]), Tabella2[[#This Row],[Amplitute RADIAL stress  (MPa)]],"")</f>
        <v>0</v>
      </c>
      <c r="AJ18" s="29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18" s="29">
        <f>IF(ISNUMBER(Tabella2[[#This Row],[Amplitute AXIAL stress  (MPa)]]),    IF(Tabella2[[#This Row],[derived from (AXIAL/BENDING) load]]="AXIAL",Tabella2[[#This Row],[Amplitute AXIAL stress  (MPa)]]*Tabella2[[#This Row],[Area (mm^2)]],"Null"), "")</f>
        <v>6140.3385497472809</v>
      </c>
      <c r="AL18" s="29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Row],[Bending moment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Row],[Bending moment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Row],[Bending moment of inertia (mm^4)]]/(Tabella2[[#This Row],[B (mm)]]*0.5),"Null"))),"")</f>
        <v>Null</v>
      </c>
      <c r="AM18" s="29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Row],[Bending moment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Row],[Bending moment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Row],[Bending moment of inertia (mm^4)]]/(Tabella2[[#This Row],[B (mm)]]*0.5),"Null"))), "")</f>
        <v>Null</v>
      </c>
      <c r="AN18" s="29">
        <f>IF(ISNUMBER(Tabella2[[#This Row],[Mean SHEAR stress  (MPa)]]),  IF(AND(ISNUMBER(Tabella2[[#This Row],[Mean SHEAR stress  (MPa)]]), ISNUMBER(Tabella2[[#This Row],[Torsional moment of inertia (mm^4)]]), ISNUMBER(Tabella2[[#This Row],[Diameter (mm)]])), Tabella2[[#This Row],[Mean SHEAR stress  (MPa)]]*Tabella2[[#This Row],[Torsional moment of inertia (mm^4)]]/(0.5*Tabella2[[#This Row],[Diameter (mm)]]),"Null"), " ")</f>
        <v>0</v>
      </c>
      <c r="AO18" s="23">
        <f>IF(ISNUMBER(Tabella2[[#This Row],[Amplitute SHEAR stress  (MPa)]]), IF(AND(ISNUMBER(Tabella2[[#This Row],[Amplitute SHEAR stress  (MPa)]]), ISNUMBER(Tabella2[[#This Row],[Torsional moment of inertia (mm^4)]]), ISNUMBER(Tabella2[[#This Row],[Diameter (mm)]])),Tabella2[[#This Row],[Amplitute SHEAR stress  (MPa)]]*Tabella2[[#This Row],[Torsional moment of inertia (mm^4)]]/(0.5*Tabella2[[#This Row],[Diameter (mm)]]),"Null"), "")</f>
        <v>14086.160502552182</v>
      </c>
      <c r="AP18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0.49974502804691484</v>
      </c>
      <c r="AQ18" s="4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259.35922964105208</v>
      </c>
    </row>
    <row r="19" spans="1:43" ht="20" customHeight="1" x14ac:dyDescent="0.2">
      <c r="A19" s="1" t="s">
        <v>62</v>
      </c>
      <c r="B19" s="1">
        <v>2018</v>
      </c>
      <c r="C19" s="1" t="s">
        <v>63</v>
      </c>
      <c r="D19" s="1" t="s">
        <v>82</v>
      </c>
      <c r="E19" s="28">
        <v>11000000</v>
      </c>
      <c r="F19" s="1" t="s">
        <v>32</v>
      </c>
      <c r="G19" s="21" t="s">
        <v>65</v>
      </c>
      <c r="H19" s="1" t="e" vm="1">
        <v>#VALUE!</v>
      </c>
      <c r="I19" s="1" t="s">
        <v>92</v>
      </c>
      <c r="J19" s="1" t="s">
        <v>20</v>
      </c>
      <c r="K19" s="1" t="s">
        <v>21</v>
      </c>
      <c r="L19" s="1" t="s">
        <v>21</v>
      </c>
      <c r="M19" s="1">
        <v>8.98</v>
      </c>
      <c r="N19" s="1">
        <v>10.994</v>
      </c>
      <c r="O19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31.594711432221054</v>
      </c>
      <c r="P19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397.91255541113651</v>
      </c>
      <c r="Q19" s="2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795.82511082227302</v>
      </c>
      <c r="R19" s="1">
        <v>0</v>
      </c>
      <c r="S19" s="1">
        <v>0</v>
      </c>
      <c r="T19" s="1">
        <v>90</v>
      </c>
      <c r="U19" s="28">
        <v>10</v>
      </c>
      <c r="V19" s="28">
        <v>10</v>
      </c>
      <c r="W19" s="28">
        <v>10</v>
      </c>
      <c r="X19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9" s="1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19" s="1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19" s="49">
        <v>0</v>
      </c>
      <c r="AB19" s="29">
        <v>0</v>
      </c>
      <c r="AC19" s="14">
        <v>0</v>
      </c>
      <c r="AD19" s="29">
        <v>212.5</v>
      </c>
      <c r="AE19" s="33" t="s">
        <v>58</v>
      </c>
      <c r="AF19" s="29">
        <v>0</v>
      </c>
      <c r="AG19" s="21">
        <v>106.1</v>
      </c>
      <c r="AH19" s="29">
        <f>IF(ISNUMBER(Tabella2[[#This Row],[Mean RADIAL stress  (MPa)]]), Tabella2[[#This Row],[Mean RADIAL stress  (MPa)]],"")</f>
        <v>0</v>
      </c>
      <c r="AI19" s="29">
        <f>IF(ISNUMBER(Tabella2[[#This Row],[Amplitute RADIAL stress  (MPa)]]), Tabella2[[#This Row],[Amplitute RADIAL stress  (MPa)]],"")</f>
        <v>0</v>
      </c>
      <c r="AJ19" s="29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19" s="29">
        <f>IF(ISNUMBER(Tabella2[[#This Row],[Amplitute AXIAL stress  (MPa)]]),    IF(Tabella2[[#This Row],[derived from (AXIAL/BENDING) load]]="AXIAL",Tabella2[[#This Row],[Amplitute AXIAL stress  (MPa)]]*Tabella2[[#This Row],[Area (mm^2)]],"Null"), "")</f>
        <v>6713.8761793469739</v>
      </c>
      <c r="AL19" s="29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Row],[Bending moment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Row],[Bending moment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Row],[Bending moment of inertia (mm^4)]]/(Tabella2[[#This Row],[B (mm)]]*0.5),"Null"))),"")</f>
        <v>Null</v>
      </c>
      <c r="AM19" s="29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Row],[Bending moment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Row],[Bending moment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Row],[Bending moment of inertia (mm^4)]]/(Tabella2[[#This Row],[B (mm)]]*0.5),"Null"))), "")</f>
        <v>Null</v>
      </c>
      <c r="AN19" s="29">
        <f>IF(ISNUMBER(Tabella2[[#This Row],[Mean SHEAR stress  (MPa)]]),  IF(AND(ISNUMBER(Tabella2[[#This Row],[Mean SHEAR stress  (MPa)]]), ISNUMBER(Tabella2[[#This Row],[Torsional moment of inertia (mm^4)]]), ISNUMBER(Tabella2[[#This Row],[Diameter (mm)]])), Tabella2[[#This Row],[Mean SHEAR stress  (MPa)]]*Tabella2[[#This Row],[Torsional moment of inertia (mm^4)]]/(0.5*Tabella2[[#This Row],[Diameter (mm)]]),"Null"), " ")</f>
        <v>0</v>
      </c>
      <c r="AO19" s="23">
        <f>IF(ISNUMBER(Tabella2[[#This Row],[Amplitute SHEAR stress  (MPa)]]), IF(AND(ISNUMBER(Tabella2[[#This Row],[Amplitute SHEAR stress  (MPa)]]), ISNUMBER(Tabella2[[#This Row],[Torsional moment of inertia (mm^4)]]), ISNUMBER(Tabella2[[#This Row],[Diameter (mm)]])),Tabella2[[#This Row],[Amplitute SHEAR stress  (MPa)]]*Tabella2[[#This Row],[Torsional moment of inertia (mm^4)]]/(0.5*Tabella2[[#This Row],[Diameter (mm)]]),"Null"), "")</f>
        <v>15360.568356966192</v>
      </c>
      <c r="AP19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0.49929411764705878</v>
      </c>
      <c r="AQ19" s="4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280.94106143460056</v>
      </c>
    </row>
    <row r="20" spans="1:43" ht="20" customHeight="1" x14ac:dyDescent="0.2">
      <c r="A20" s="1" t="s">
        <v>62</v>
      </c>
      <c r="B20" s="1">
        <v>2018</v>
      </c>
      <c r="C20" s="1" t="s">
        <v>63</v>
      </c>
      <c r="D20" s="1" t="s">
        <v>83</v>
      </c>
      <c r="E20" s="28">
        <v>11000000</v>
      </c>
      <c r="F20" s="1" t="s">
        <v>32</v>
      </c>
      <c r="G20" s="21" t="s">
        <v>65</v>
      </c>
      <c r="H20" s="1" t="e" vm="1">
        <v>#VALUE!</v>
      </c>
      <c r="I20" s="1" t="s">
        <v>92</v>
      </c>
      <c r="J20" s="1" t="s">
        <v>20</v>
      </c>
      <c r="K20" s="1" t="s">
        <v>21</v>
      </c>
      <c r="L20" s="1" t="s">
        <v>21</v>
      </c>
      <c r="M20" s="1">
        <v>9</v>
      </c>
      <c r="N20" s="1">
        <v>10.993</v>
      </c>
      <c r="O20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31.295013703244738</v>
      </c>
      <c r="P20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394.7984293375506</v>
      </c>
      <c r="Q20" s="2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789.5968586751012</v>
      </c>
      <c r="R20" s="1">
        <v>0</v>
      </c>
      <c r="S20" s="1">
        <v>0</v>
      </c>
      <c r="T20" s="1">
        <v>90</v>
      </c>
      <c r="U20" s="28">
        <v>10</v>
      </c>
      <c r="V20" s="28">
        <v>10</v>
      </c>
      <c r="W20" s="28">
        <v>10</v>
      </c>
      <c r="X20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20" s="1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20" s="1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20" s="49">
        <v>0</v>
      </c>
      <c r="AB20" s="29">
        <v>0</v>
      </c>
      <c r="AC20" s="14">
        <v>0</v>
      </c>
      <c r="AD20" s="29">
        <v>220.6</v>
      </c>
      <c r="AE20" s="33" t="s">
        <v>58</v>
      </c>
      <c r="AF20" s="29">
        <v>0</v>
      </c>
      <c r="AG20" s="21">
        <v>110.2</v>
      </c>
      <c r="AH20" s="29">
        <f>IF(ISNUMBER(Tabella2[[#This Row],[Mean RADIAL stress  (MPa)]]), Tabella2[[#This Row],[Mean RADIAL stress  (MPa)]],"")</f>
        <v>0</v>
      </c>
      <c r="AI20" s="29">
        <f>IF(ISNUMBER(Tabella2[[#This Row],[Amplitute RADIAL stress  (MPa)]]), Tabella2[[#This Row],[Amplitute RADIAL stress  (MPa)]],"")</f>
        <v>0</v>
      </c>
      <c r="AJ20" s="29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20" s="29">
        <f>IF(ISNUMBER(Tabella2[[#This Row],[Amplitute AXIAL stress  (MPa)]]),    IF(Tabella2[[#This Row],[derived from (AXIAL/BENDING) load]]="AXIAL",Tabella2[[#This Row],[Amplitute AXIAL stress  (MPa)]]*Tabella2[[#This Row],[Area (mm^2)]],"Null"), "")</f>
        <v>6903.6800229357887</v>
      </c>
      <c r="AL20" s="29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Row],[Bending moment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Row],[Bending moment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Row],[Bending moment of inertia (mm^4)]]/(Tabella2[[#This Row],[B (mm)]]*0.5),"Null"))),"")</f>
        <v>Null</v>
      </c>
      <c r="AM20" s="29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Row],[Bending moment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Row],[Bending moment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Row],[Bending moment of inertia (mm^4)]]/(Tabella2[[#This Row],[B (mm)]]*0.5),"Null"))), "")</f>
        <v>Null</v>
      </c>
      <c r="AN20" s="29">
        <f>IF(ISNUMBER(Tabella2[[#This Row],[Mean SHEAR stress  (MPa)]]),  IF(AND(ISNUMBER(Tabella2[[#This Row],[Mean SHEAR stress  (MPa)]]), ISNUMBER(Tabella2[[#This Row],[Torsional moment of inertia (mm^4)]]), ISNUMBER(Tabella2[[#This Row],[Diameter (mm)]])), Tabella2[[#This Row],[Mean SHEAR stress  (MPa)]]*Tabella2[[#This Row],[Torsional moment of inertia (mm^4)]]/(0.5*Tabella2[[#This Row],[Diameter (mm)]]),"Null"), " ")</f>
        <v>0</v>
      </c>
      <c r="AO20" s="23">
        <f>IF(ISNUMBER(Tabella2[[#This Row],[Amplitute SHEAR stress  (MPa)]]), IF(AND(ISNUMBER(Tabella2[[#This Row],[Amplitute SHEAR stress  (MPa)]]), ISNUMBER(Tabella2[[#This Row],[Torsional moment of inertia (mm^4)]]), ISNUMBER(Tabella2[[#This Row],[Diameter (mm)]])),Tabella2[[#This Row],[Amplitute SHEAR stress  (MPa)]]*Tabella2[[#This Row],[Torsional moment of inertia (mm^4)]]/(0.5*Tabella2[[#This Row],[Diameter (mm)]]),"Null"), "")</f>
        <v>15830.723883561566</v>
      </c>
      <c r="AP20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0.49954669084315506</v>
      </c>
      <c r="AQ20" s="4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291.71300965160947</v>
      </c>
    </row>
    <row r="21" spans="1:43" ht="20" customHeight="1" x14ac:dyDescent="0.2">
      <c r="A21" s="1" t="s">
        <v>62</v>
      </c>
      <c r="B21" s="1">
        <v>2018</v>
      </c>
      <c r="C21" s="1" t="s">
        <v>63</v>
      </c>
      <c r="D21" s="1" t="s">
        <v>84</v>
      </c>
      <c r="E21" s="28">
        <v>194000</v>
      </c>
      <c r="F21" s="1" t="s">
        <v>20</v>
      </c>
      <c r="G21" s="21" t="s">
        <v>65</v>
      </c>
      <c r="H21" s="1" t="e" vm="1">
        <v>#VALUE!</v>
      </c>
      <c r="I21" s="1" t="s">
        <v>92</v>
      </c>
      <c r="J21" s="1" t="s">
        <v>20</v>
      </c>
      <c r="K21" s="1" t="s">
        <v>21</v>
      </c>
      <c r="L21" s="1" t="s">
        <v>21</v>
      </c>
      <c r="M21" s="1">
        <v>8.9</v>
      </c>
      <c r="N21" s="1">
        <v>10.99</v>
      </c>
      <c r="O21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32.649080192248263</v>
      </c>
      <c r="P21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408.09330078473431</v>
      </c>
      <c r="Q21" s="2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816.18660156946862</v>
      </c>
      <c r="R21" s="1">
        <v>0</v>
      </c>
      <c r="S21" s="1">
        <v>0</v>
      </c>
      <c r="T21" s="1">
        <v>90</v>
      </c>
      <c r="U21" s="28">
        <v>10</v>
      </c>
      <c r="V21" s="28">
        <v>10</v>
      </c>
      <c r="W21" s="28">
        <v>10</v>
      </c>
      <c r="X21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21" s="1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21" s="1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21" s="49">
        <v>0</v>
      </c>
      <c r="AB21" s="29">
        <v>0</v>
      </c>
      <c r="AC21" s="14">
        <v>0</v>
      </c>
      <c r="AD21" s="29">
        <v>228.8</v>
      </c>
      <c r="AE21" s="33" t="s">
        <v>58</v>
      </c>
      <c r="AF21" s="29">
        <v>0</v>
      </c>
      <c r="AG21" s="21">
        <v>114.3</v>
      </c>
      <c r="AH21" s="29">
        <f>IF(ISNUMBER(Tabella2[[#This Row],[Mean RADIAL stress  (MPa)]]), Tabella2[[#This Row],[Mean RADIAL stress  (MPa)]],"")</f>
        <v>0</v>
      </c>
      <c r="AI21" s="29">
        <f>IF(ISNUMBER(Tabella2[[#This Row],[Amplitute RADIAL stress  (MPa)]]), Tabella2[[#This Row],[Amplitute RADIAL stress  (MPa)]],"")</f>
        <v>0</v>
      </c>
      <c r="AJ21" s="29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21" s="29">
        <f>IF(ISNUMBER(Tabella2[[#This Row],[Amplitute AXIAL stress  (MPa)]]),    IF(Tabella2[[#This Row],[derived from (AXIAL/BENDING) load]]="AXIAL",Tabella2[[#This Row],[Amplitute AXIAL stress  (MPa)]]*Tabella2[[#This Row],[Area (mm^2)]],"Null"), "")</f>
        <v>7470.1095479864034</v>
      </c>
      <c r="AL21" s="29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Row],[Bending moment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Row],[Bending moment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Row],[Bending moment of inertia (mm^4)]]/(Tabella2[[#This Row],[B (mm)]]*0.5),"Null"))),"")</f>
        <v>Null</v>
      </c>
      <c r="AM21" s="29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Row],[Bending moment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Row],[Bending moment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Row],[Bending moment of inertia (mm^4)]]/(Tabella2[[#This Row],[B (mm)]]*0.5),"Null"))), "")</f>
        <v>Null</v>
      </c>
      <c r="AN21" s="29">
        <f>IF(ISNUMBER(Tabella2[[#This Row],[Mean SHEAR stress  (MPa)]]),  IF(AND(ISNUMBER(Tabella2[[#This Row],[Mean SHEAR stress  (MPa)]]), ISNUMBER(Tabella2[[#This Row],[Torsional moment of inertia (mm^4)]]), ISNUMBER(Tabella2[[#This Row],[Diameter (mm)]])), Tabella2[[#This Row],[Mean SHEAR stress  (MPa)]]*Tabella2[[#This Row],[Torsional moment of inertia (mm^4)]]/(0.5*Tabella2[[#This Row],[Diameter (mm)]]),"Null"), " ")</f>
        <v>0</v>
      </c>
      <c r="AO21" s="23">
        <f>IF(ISNUMBER(Tabella2[[#This Row],[Amplitute SHEAR stress  (MPa)]]), IF(AND(ISNUMBER(Tabella2[[#This Row],[Amplitute SHEAR stress  (MPa)]]), ISNUMBER(Tabella2[[#This Row],[Torsional moment of inertia (mm^4)]]), ISNUMBER(Tabella2[[#This Row],[Diameter (mm)]])),Tabella2[[#This Row],[Amplitute SHEAR stress  (MPa)]]*Tabella2[[#This Row],[Torsional moment of inertia (mm^4)]]/(0.5*Tabella2[[#This Row],[Diameter (mm)]]),"Null"), "")</f>
        <v>16977.275443019156</v>
      </c>
      <c r="AP21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0.49956293706293703</v>
      </c>
      <c r="AQ21" s="4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302.56058897351454</v>
      </c>
    </row>
    <row r="22" spans="1:43" ht="20" customHeight="1" x14ac:dyDescent="0.2">
      <c r="A22" s="1" t="s">
        <v>62</v>
      </c>
      <c r="B22" s="1">
        <v>2018</v>
      </c>
      <c r="C22" s="1" t="s">
        <v>63</v>
      </c>
      <c r="D22" s="1" t="s">
        <v>85</v>
      </c>
      <c r="E22" s="28">
        <v>11000000</v>
      </c>
      <c r="F22" s="1" t="s">
        <v>32</v>
      </c>
      <c r="G22" s="21" t="s">
        <v>65</v>
      </c>
      <c r="H22" s="1" t="e" vm="1">
        <v>#VALUE!</v>
      </c>
      <c r="I22" s="1" t="s">
        <v>92</v>
      </c>
      <c r="J22" s="1" t="s">
        <v>20</v>
      </c>
      <c r="K22" s="1" t="s">
        <v>21</v>
      </c>
      <c r="L22" s="1" t="s">
        <v>21</v>
      </c>
      <c r="M22" s="1">
        <v>8.99</v>
      </c>
      <c r="N22" s="1">
        <v>10.999000000000001</v>
      </c>
      <c r="O22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31.539941691296548</v>
      </c>
      <c r="P22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397.79377118464822</v>
      </c>
      <c r="Q22" s="2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795.58754236929644</v>
      </c>
      <c r="R22" s="1">
        <v>0</v>
      </c>
      <c r="S22" s="1">
        <v>0</v>
      </c>
      <c r="T22" s="1">
        <v>90</v>
      </c>
      <c r="U22" s="28">
        <v>10</v>
      </c>
      <c r="V22" s="28">
        <v>10</v>
      </c>
      <c r="W22" s="28">
        <v>10</v>
      </c>
      <c r="X22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22" s="1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22" s="1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22" s="49">
        <v>0</v>
      </c>
      <c r="AB22" s="29">
        <v>0</v>
      </c>
      <c r="AC22" s="14">
        <v>0</v>
      </c>
      <c r="AD22" s="29">
        <v>236.9</v>
      </c>
      <c r="AE22" s="33" t="s">
        <v>58</v>
      </c>
      <c r="AF22" s="29">
        <v>0</v>
      </c>
      <c r="AG22" s="21">
        <v>118.4</v>
      </c>
      <c r="AH22" s="29">
        <f>IF(ISNUMBER(Tabella2[[#This Row],[Mean RADIAL stress  (MPa)]]), Tabella2[[#This Row],[Mean RADIAL stress  (MPa)]],"")</f>
        <v>0</v>
      </c>
      <c r="AI22" s="29">
        <f>IF(ISNUMBER(Tabella2[[#This Row],[Amplitute RADIAL stress  (MPa)]]), Tabella2[[#This Row],[Amplitute RADIAL stress  (MPa)]],"")</f>
        <v>0</v>
      </c>
      <c r="AJ22" s="29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22" s="29">
        <f>IF(ISNUMBER(Tabella2[[#This Row],[Amplitute AXIAL stress  (MPa)]]),    IF(Tabella2[[#This Row],[derived from (AXIAL/BENDING) load]]="AXIAL",Tabella2[[#This Row],[Amplitute AXIAL stress  (MPa)]]*Tabella2[[#This Row],[Area (mm^2)]],"Null"), "")</f>
        <v>7471.8121866681522</v>
      </c>
      <c r="AL22" s="29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Row],[Bending moment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Row],[Bending moment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Row],[Bending moment of inertia (mm^4)]]/(Tabella2[[#This Row],[B (mm)]]*0.5),"Null"))),"")</f>
        <v>Null</v>
      </c>
      <c r="AM22" s="29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Row],[Bending moment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Row],[Bending moment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Row],[Bending moment of inertia (mm^4)]]/(Tabella2[[#This Row],[B (mm)]]*0.5),"Null"))), "")</f>
        <v>Null</v>
      </c>
      <c r="AN22" s="29">
        <f>IF(ISNUMBER(Tabella2[[#This Row],[Mean SHEAR stress  (MPa)]]),  IF(AND(ISNUMBER(Tabella2[[#This Row],[Mean SHEAR stress  (MPa)]]), ISNUMBER(Tabella2[[#This Row],[Torsional moment of inertia (mm^4)]]), ISNUMBER(Tabella2[[#This Row],[Diameter (mm)]])), Tabella2[[#This Row],[Mean SHEAR stress  (MPa)]]*Tabella2[[#This Row],[Torsional moment of inertia (mm^4)]]/(0.5*Tabella2[[#This Row],[Diameter (mm)]]),"Null"), " ")</f>
        <v>0</v>
      </c>
      <c r="AO22" s="23">
        <f>IF(ISNUMBER(Tabella2[[#This Row],[Amplitute SHEAR stress  (MPa)]]), IF(AND(ISNUMBER(Tabella2[[#This Row],[Amplitute SHEAR stress  (MPa)]]), ISNUMBER(Tabella2[[#This Row],[Torsional moment of inertia (mm^4)]]), ISNUMBER(Tabella2[[#This Row],[Diameter (mm)]])),Tabella2[[#This Row],[Amplitute SHEAR stress  (MPa)]]*Tabella2[[#This Row],[Torsional moment of inertia (mm^4)]]/(0.5*Tabella2[[#This Row],[Diameter (mm)]]),"Null"), "")</f>
        <v>17128.387129107137</v>
      </c>
      <c r="AP22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0.49978894048121569</v>
      </c>
      <c r="AQ22" s="4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313.33255496357225</v>
      </c>
    </row>
    <row r="23" spans="1:43" ht="20" customHeight="1" x14ac:dyDescent="0.2">
      <c r="A23" s="1" t="s">
        <v>62</v>
      </c>
      <c r="B23" s="1">
        <v>2018</v>
      </c>
      <c r="C23" s="1" t="s">
        <v>63</v>
      </c>
      <c r="D23" s="1" t="s">
        <v>86</v>
      </c>
      <c r="E23" s="28">
        <v>1458000</v>
      </c>
      <c r="F23" s="1" t="s">
        <v>20</v>
      </c>
      <c r="G23" s="21" t="s">
        <v>65</v>
      </c>
      <c r="H23" s="1" t="e" vm="1">
        <v>#VALUE!</v>
      </c>
      <c r="I23" s="1" t="s">
        <v>92</v>
      </c>
      <c r="J23" s="1" t="s">
        <v>20</v>
      </c>
      <c r="K23" s="1" t="s">
        <v>21</v>
      </c>
      <c r="L23" s="1" t="s">
        <v>21</v>
      </c>
      <c r="M23" s="1">
        <v>9.01</v>
      </c>
      <c r="N23" s="1">
        <v>11</v>
      </c>
      <c r="O23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31.274476326670055</v>
      </c>
      <c r="P23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395.1922969483615</v>
      </c>
      <c r="Q23" s="2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790.384593896723</v>
      </c>
      <c r="R23" s="1">
        <v>0</v>
      </c>
      <c r="S23" s="1">
        <v>0</v>
      </c>
      <c r="T23" s="1">
        <v>90</v>
      </c>
      <c r="U23" s="28">
        <v>10</v>
      </c>
      <c r="V23" s="28">
        <v>10</v>
      </c>
      <c r="W23" s="28">
        <v>10</v>
      </c>
      <c r="X23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23" s="1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23" s="1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23" s="49">
        <v>0</v>
      </c>
      <c r="AB23" s="29">
        <v>0</v>
      </c>
      <c r="AC23" s="14">
        <v>0</v>
      </c>
      <c r="AD23" s="29">
        <v>242.7</v>
      </c>
      <c r="AE23" s="33" t="s">
        <v>58</v>
      </c>
      <c r="AF23" s="29">
        <v>0</v>
      </c>
      <c r="AG23" s="21">
        <v>121.2</v>
      </c>
      <c r="AH23" s="29">
        <f>IF(ISNUMBER(Tabella2[[#This Row],[Mean RADIAL stress  (MPa)]]), Tabella2[[#This Row],[Mean RADIAL stress  (MPa)]],"")</f>
        <v>0</v>
      </c>
      <c r="AI23" s="29">
        <f>IF(ISNUMBER(Tabella2[[#This Row],[Amplitute RADIAL stress  (MPa)]]), Tabella2[[#This Row],[Amplitute RADIAL stress  (MPa)]],"")</f>
        <v>0</v>
      </c>
      <c r="AJ23" s="29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23" s="29">
        <f>IF(ISNUMBER(Tabella2[[#This Row],[Amplitute AXIAL stress  (MPa)]]),    IF(Tabella2[[#This Row],[derived from (AXIAL/BENDING) load]]="AXIAL",Tabella2[[#This Row],[Amplitute AXIAL stress  (MPa)]]*Tabella2[[#This Row],[Area (mm^2)]],"Null"), "")</f>
        <v>7590.3154044828216</v>
      </c>
      <c r="AL23" s="29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Row],[Bending moment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Row],[Bending moment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Row],[Bending moment of inertia (mm^4)]]/(Tabella2[[#This Row],[B (mm)]]*0.5),"Null"))),"")</f>
        <v>Null</v>
      </c>
      <c r="AM23" s="29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Row],[Bending moment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Row],[Bending moment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Row],[Bending moment of inertia (mm^4)]]/(Tabella2[[#This Row],[B (mm)]]*0.5),"Null"))), "")</f>
        <v>Null</v>
      </c>
      <c r="AN23" s="29">
        <f>IF(ISNUMBER(Tabella2[[#This Row],[Mean SHEAR stress  (MPa)]]),  IF(AND(ISNUMBER(Tabella2[[#This Row],[Mean SHEAR stress  (MPa)]]), ISNUMBER(Tabella2[[#This Row],[Torsional moment of inertia (mm^4)]]), ISNUMBER(Tabella2[[#This Row],[Diameter (mm)]])), Tabella2[[#This Row],[Mean SHEAR stress  (MPa)]]*Tabella2[[#This Row],[Torsional moment of inertia (mm^4)]]/(0.5*Tabella2[[#This Row],[Diameter (mm)]]),"Null"), " ")</f>
        <v>0</v>
      </c>
      <c r="AO23" s="23">
        <f>IF(ISNUMBER(Tabella2[[#This Row],[Amplitute SHEAR stress  (MPa)]]), IF(AND(ISNUMBER(Tabella2[[#This Row],[Amplitute SHEAR stress  (MPa)]]), ISNUMBER(Tabella2[[#This Row],[Torsional moment of inertia (mm^4)]]), ISNUMBER(Tabella2[[#This Row],[Diameter (mm)]])),Tabella2[[#This Row],[Amplitute SHEAR stress  (MPa)]]*Tabella2[[#This Row],[Torsional moment of inertia (mm^4)]]/(0.5*Tabella2[[#This Row],[Diameter (mm)]]),"Null"), "")</f>
        <v>17417.202323687787</v>
      </c>
      <c r="AP23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0.49938195302843019</v>
      </c>
      <c r="AQ23" s="4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320.89189768518617</v>
      </c>
    </row>
    <row r="24" spans="1:43" ht="20" customHeight="1" x14ac:dyDescent="0.2">
      <c r="A24" s="1" t="s">
        <v>62</v>
      </c>
      <c r="B24" s="1">
        <v>2018</v>
      </c>
      <c r="C24" s="1" t="s">
        <v>63</v>
      </c>
      <c r="D24" s="1" t="s">
        <v>87</v>
      </c>
      <c r="E24" s="28">
        <v>11000000</v>
      </c>
      <c r="F24" s="1" t="s">
        <v>32</v>
      </c>
      <c r="G24" s="21" t="s">
        <v>65</v>
      </c>
      <c r="H24" s="1" t="e" vm="1">
        <v>#VALUE!</v>
      </c>
      <c r="I24" s="1" t="s">
        <v>92</v>
      </c>
      <c r="J24" s="1" t="s">
        <v>20</v>
      </c>
      <c r="K24" s="1" t="s">
        <v>21</v>
      </c>
      <c r="L24" s="1" t="s">
        <v>21</v>
      </c>
      <c r="M24" s="1">
        <v>9.1050000000000004</v>
      </c>
      <c r="N24" s="1">
        <v>11.009</v>
      </c>
      <c r="O24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30.078437445929225</v>
      </c>
      <c r="P24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383.68638703694245</v>
      </c>
      <c r="Q24" s="2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767.3727740738849</v>
      </c>
      <c r="R24" s="1">
        <v>0</v>
      </c>
      <c r="S24" s="1">
        <v>0</v>
      </c>
      <c r="T24" s="1">
        <v>90</v>
      </c>
      <c r="U24" s="28">
        <v>10</v>
      </c>
      <c r="V24" s="28">
        <v>10</v>
      </c>
      <c r="W24" s="28">
        <v>10</v>
      </c>
      <c r="X24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24" s="1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24" s="1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24" s="49">
        <v>0</v>
      </c>
      <c r="AB24" s="29">
        <v>0</v>
      </c>
      <c r="AC24" s="14">
        <v>0</v>
      </c>
      <c r="AD24" s="29">
        <v>245.1</v>
      </c>
      <c r="AE24" s="33" t="s">
        <v>58</v>
      </c>
      <c r="AF24" s="29">
        <v>0</v>
      </c>
      <c r="AG24" s="21">
        <v>122.5</v>
      </c>
      <c r="AH24" s="29">
        <f>IF(ISNUMBER(Tabella2[[#This Row],[Mean RADIAL stress  (MPa)]]), Tabella2[[#This Row],[Mean RADIAL stress  (MPa)]],"")</f>
        <v>0</v>
      </c>
      <c r="AI24" s="29">
        <f>IF(ISNUMBER(Tabella2[[#This Row],[Amplitute RADIAL stress  (MPa)]]), Tabella2[[#This Row],[Amplitute RADIAL stress  (MPa)]],"")</f>
        <v>0</v>
      </c>
      <c r="AJ24" s="29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24" s="29">
        <f>IF(ISNUMBER(Tabella2[[#This Row],[Amplitute AXIAL stress  (MPa)]]),    IF(Tabella2[[#This Row],[derived from (AXIAL/BENDING) load]]="AXIAL",Tabella2[[#This Row],[Amplitute AXIAL stress  (MPa)]]*Tabella2[[#This Row],[Area (mm^2)]],"Null"), "")</f>
        <v>7372.2250179972525</v>
      </c>
      <c r="AL24" s="29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Row],[Bending moment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Row],[Bending moment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Row],[Bending moment of inertia (mm^4)]]/(Tabella2[[#This Row],[B (mm)]]*0.5),"Null"))),"")</f>
        <v>Null</v>
      </c>
      <c r="AM24" s="29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Row],[Bending moment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Row],[Bending moment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Row],[Bending moment of inertia (mm^4)]]/(Tabella2[[#This Row],[B (mm)]]*0.5),"Null"))), "")</f>
        <v>Null</v>
      </c>
      <c r="AN24" s="29">
        <f>IF(ISNUMBER(Tabella2[[#This Row],[Mean SHEAR stress  (MPa)]]),  IF(AND(ISNUMBER(Tabella2[[#This Row],[Mean SHEAR stress  (MPa)]]), ISNUMBER(Tabella2[[#This Row],[Torsional moment of inertia (mm^4)]]), ISNUMBER(Tabella2[[#This Row],[Diameter (mm)]])), Tabella2[[#This Row],[Mean SHEAR stress  (MPa)]]*Tabella2[[#This Row],[Torsional moment of inertia (mm^4)]]/(0.5*Tabella2[[#This Row],[Diameter (mm)]]),"Null"), " ")</f>
        <v>0</v>
      </c>
      <c r="AO24" s="23">
        <f>IF(ISNUMBER(Tabella2[[#This Row],[Amplitute SHEAR stress  (MPa)]]), IF(AND(ISNUMBER(Tabella2[[#This Row],[Amplitute SHEAR stress  (MPa)]]), ISNUMBER(Tabella2[[#This Row],[Torsional moment of inertia (mm^4)]]), ISNUMBER(Tabella2[[#This Row],[Diameter (mm)]])),Tabella2[[#This Row],[Amplitute SHEAR stress  (MPa)]]*Tabella2[[#This Row],[Torsional moment of inertia (mm^4)]]/(0.5*Tabella2[[#This Row],[Diameter (mm)]]),"Null"), "")</f>
        <v>17077.512003642638</v>
      </c>
      <c r="AP24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0.49979600163198695</v>
      </c>
      <c r="AQ24" s="4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324.18013511009582</v>
      </c>
    </row>
    <row r="25" spans="1:43" ht="20" customHeight="1" x14ac:dyDescent="0.2">
      <c r="A25" s="1" t="s">
        <v>62</v>
      </c>
      <c r="B25" s="1">
        <v>2018</v>
      </c>
      <c r="C25" s="1" t="s">
        <v>63</v>
      </c>
      <c r="D25" s="1" t="s">
        <v>88</v>
      </c>
      <c r="E25" s="28">
        <v>431000</v>
      </c>
      <c r="F25" s="1" t="s">
        <v>20</v>
      </c>
      <c r="G25" s="21" t="s">
        <v>65</v>
      </c>
      <c r="H25" s="1" t="e" vm="1">
        <v>#VALUE!</v>
      </c>
      <c r="I25" s="1" t="s">
        <v>92</v>
      </c>
      <c r="J25" s="1" t="s">
        <v>20</v>
      </c>
      <c r="K25" s="1" t="s">
        <v>21</v>
      </c>
      <c r="L25" s="1" t="s">
        <v>21</v>
      </c>
      <c r="M25" s="1">
        <v>9</v>
      </c>
      <c r="N25" s="1">
        <v>11</v>
      </c>
      <c r="O25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31.415926535897931</v>
      </c>
      <c r="P25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396.62607251571137</v>
      </c>
      <c r="Q25" s="2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793.25214503142274</v>
      </c>
      <c r="R25" s="1">
        <v>0</v>
      </c>
      <c r="S25" s="1">
        <v>0</v>
      </c>
      <c r="T25" s="1">
        <v>90</v>
      </c>
      <c r="U25" s="28">
        <v>10</v>
      </c>
      <c r="V25" s="28">
        <v>10</v>
      </c>
      <c r="W25" s="28">
        <v>10</v>
      </c>
      <c r="X25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25" s="1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25" s="1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25" s="49">
        <v>0</v>
      </c>
      <c r="AB25" s="29">
        <v>0</v>
      </c>
      <c r="AC25" s="14">
        <v>0</v>
      </c>
      <c r="AD25" s="29">
        <v>248.5</v>
      </c>
      <c r="AE25" s="33" t="s">
        <v>58</v>
      </c>
      <c r="AF25" s="29">
        <v>0</v>
      </c>
      <c r="AG25" s="21">
        <v>124.1</v>
      </c>
      <c r="AH25" s="29">
        <f>IF(ISNUMBER(Tabella2[[#This Row],[Mean RADIAL stress  (MPa)]]), Tabella2[[#This Row],[Mean RADIAL stress  (MPa)]],"")</f>
        <v>0</v>
      </c>
      <c r="AI25" s="29">
        <f>IF(ISNUMBER(Tabella2[[#This Row],[Amplitute RADIAL stress  (MPa)]]), Tabella2[[#This Row],[Amplitute RADIAL stress  (MPa)]],"")</f>
        <v>0</v>
      </c>
      <c r="AJ25" s="29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25" s="29">
        <f>IF(ISNUMBER(Tabella2[[#This Row],[Amplitute AXIAL stress  (MPa)]]),    IF(Tabella2[[#This Row],[derived from (AXIAL/BENDING) load]]="AXIAL",Tabella2[[#This Row],[Amplitute AXIAL stress  (MPa)]]*Tabella2[[#This Row],[Area (mm^2)]],"Null"), "")</f>
        <v>7806.8577441706357</v>
      </c>
      <c r="AL25" s="29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Row],[Bending moment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Row],[Bending moment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Row],[Bending moment of inertia (mm^4)]]/(Tabella2[[#This Row],[B (mm)]]*0.5),"Null"))),"")</f>
        <v>Null</v>
      </c>
      <c r="AM25" s="29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Row],[Bending moment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Row],[Bending moment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Row],[Bending moment of inertia (mm^4)]]/(Tabella2[[#This Row],[B (mm)]]*0.5),"Null"))), "")</f>
        <v>Null</v>
      </c>
      <c r="AN25" s="29">
        <f>IF(ISNUMBER(Tabella2[[#This Row],[Mean SHEAR stress  (MPa)]]),  IF(AND(ISNUMBER(Tabella2[[#This Row],[Mean SHEAR stress  (MPa)]]), ISNUMBER(Tabella2[[#This Row],[Torsional moment of inertia (mm^4)]]), ISNUMBER(Tabella2[[#This Row],[Diameter (mm)]])), Tabella2[[#This Row],[Mean SHEAR stress  (MPa)]]*Tabella2[[#This Row],[Torsional moment of inertia (mm^4)]]/(0.5*Tabella2[[#This Row],[Diameter (mm)]]),"Null"), " ")</f>
        <v>0</v>
      </c>
      <c r="AO25" s="23">
        <f>IF(ISNUMBER(Tabella2[[#This Row],[Amplitute SHEAR stress  (MPa)]]), IF(AND(ISNUMBER(Tabella2[[#This Row],[Amplitute SHEAR stress  (MPa)]]), ISNUMBER(Tabella2[[#This Row],[Torsional moment of inertia (mm^4)]]), ISNUMBER(Tabella2[[#This Row],[Diameter (mm)]])),Tabella2[[#This Row],[Amplitute SHEAR stress  (MPa)]]*Tabella2[[#This Row],[Torsional moment of inertia (mm^4)]]/(0.5*Tabella2[[#This Row],[Diameter (mm)]]),"Null"), "")</f>
        <v>17898.652945163558</v>
      </c>
      <c r="AP25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0.49939637826961769</v>
      </c>
      <c r="AQ25" s="4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328.56457508380294</v>
      </c>
    </row>
    <row r="26" spans="1:43" ht="20" customHeight="1" x14ac:dyDescent="0.2">
      <c r="A26" s="1" t="s">
        <v>62</v>
      </c>
      <c r="B26" s="1">
        <v>2018</v>
      </c>
      <c r="C26" s="1" t="s">
        <v>63</v>
      </c>
      <c r="D26" s="1" t="s">
        <v>89</v>
      </c>
      <c r="E26" s="28">
        <v>246000</v>
      </c>
      <c r="F26" s="1" t="s">
        <v>20</v>
      </c>
      <c r="G26" s="21" t="s">
        <v>65</v>
      </c>
      <c r="H26" s="1" t="e" vm="1">
        <v>#VALUE!</v>
      </c>
      <c r="I26" s="1" t="s">
        <v>92</v>
      </c>
      <c r="J26" s="1" t="s">
        <v>20</v>
      </c>
      <c r="K26" s="1" t="s">
        <v>21</v>
      </c>
      <c r="L26" s="1" t="s">
        <v>21</v>
      </c>
      <c r="M26" s="1">
        <v>8.9890000000000008</v>
      </c>
      <c r="N26" s="1">
        <v>10.991</v>
      </c>
      <c r="O26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31.415895119971374</v>
      </c>
      <c r="P26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395.84852911109522</v>
      </c>
      <c r="Q26" s="2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791.69705822219044</v>
      </c>
      <c r="R26" s="1">
        <v>0</v>
      </c>
      <c r="S26" s="1">
        <v>0</v>
      </c>
      <c r="T26" s="1">
        <v>90</v>
      </c>
      <c r="U26" s="28">
        <v>10</v>
      </c>
      <c r="V26" s="28">
        <v>10</v>
      </c>
      <c r="W26" s="28">
        <v>10</v>
      </c>
      <c r="X26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26" s="1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26" s="1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26" s="49">
        <v>0</v>
      </c>
      <c r="AB26" s="29">
        <v>0</v>
      </c>
      <c r="AC26" s="14">
        <v>0</v>
      </c>
      <c r="AD26" s="29">
        <v>253.4</v>
      </c>
      <c r="AE26" s="33" t="s">
        <v>58</v>
      </c>
      <c r="AF26" s="29">
        <v>0</v>
      </c>
      <c r="AG26" s="21">
        <v>126.6</v>
      </c>
      <c r="AH26" s="29">
        <f>IF(ISNUMBER(Tabella2[[#This Row],[Mean RADIAL stress  (MPa)]]), Tabella2[[#This Row],[Mean RADIAL stress  (MPa)]],"")</f>
        <v>0</v>
      </c>
      <c r="AI26" s="29">
        <f>IF(ISNUMBER(Tabella2[[#This Row],[Amplitute RADIAL stress  (MPa)]]), Tabella2[[#This Row],[Amplitute RADIAL stress  (MPa)]],"")</f>
        <v>0</v>
      </c>
      <c r="AJ26" s="29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26" s="29">
        <f>IF(ISNUMBER(Tabella2[[#This Row],[Amplitute AXIAL stress  (MPa)]]),    IF(Tabella2[[#This Row],[derived from (AXIAL/BENDING) load]]="AXIAL",Tabella2[[#This Row],[Amplitute AXIAL stress  (MPa)]]*Tabella2[[#This Row],[Area (mm^2)]],"Null"), "")</f>
        <v>7960.7878234007467</v>
      </c>
      <c r="AL26" s="29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Row],[Bending moment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Row],[Bending moment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Row],[Bending moment of inertia (mm^4)]]/(Tabella2[[#This Row],[B (mm)]]*0.5),"Null"))),"")</f>
        <v>Null</v>
      </c>
      <c r="AM26" s="29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Row],[Bending moment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Row],[Bending moment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Row],[Bending moment of inertia (mm^4)]]/(Tabella2[[#This Row],[B (mm)]]*0.5),"Null"))), "")</f>
        <v>Null</v>
      </c>
      <c r="AN26" s="29">
        <f>IF(ISNUMBER(Tabella2[[#This Row],[Mean SHEAR stress  (MPa)]]),  IF(AND(ISNUMBER(Tabella2[[#This Row],[Mean SHEAR stress  (MPa)]]), ISNUMBER(Tabella2[[#This Row],[Torsional moment of inertia (mm^4)]]), ISNUMBER(Tabella2[[#This Row],[Diameter (mm)]])), Tabella2[[#This Row],[Mean SHEAR stress  (MPa)]]*Tabella2[[#This Row],[Torsional moment of inertia (mm^4)]]/(0.5*Tabella2[[#This Row],[Diameter (mm)]]),"Null"), " ")</f>
        <v>0</v>
      </c>
      <c r="AO26" s="23">
        <f>IF(ISNUMBER(Tabella2[[#This Row],[Amplitute SHEAR stress  (MPa)]]), IF(AND(ISNUMBER(Tabella2[[#This Row],[Amplitute SHEAR stress  (MPa)]]), ISNUMBER(Tabella2[[#This Row],[Torsional moment of inertia (mm^4)]]), ISNUMBER(Tabella2[[#This Row],[Diameter (mm)]])),Tabella2[[#This Row],[Amplitute SHEAR stress  (MPa)]]*Tabella2[[#This Row],[Torsional moment of inertia (mm^4)]]/(0.5*Tabella2[[#This Row],[Diameter (mm)]]),"Null"), "")</f>
        <v>18238.349116719008</v>
      </c>
      <c r="AP26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0.49960536700868191</v>
      </c>
      <c r="AQ26" s="4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335.10332734844633</v>
      </c>
    </row>
    <row r="27" spans="1:43" ht="20" customHeight="1" x14ac:dyDescent="0.2">
      <c r="A27" s="1" t="s">
        <v>62</v>
      </c>
      <c r="B27" s="1">
        <v>2018</v>
      </c>
      <c r="C27" s="1" t="s">
        <v>63</v>
      </c>
      <c r="D27" s="1" t="s">
        <v>90</v>
      </c>
      <c r="E27" s="28">
        <v>102000</v>
      </c>
      <c r="F27" s="1" t="s">
        <v>20</v>
      </c>
      <c r="G27" s="21" t="s">
        <v>65</v>
      </c>
      <c r="H27" s="1" t="e" vm="1">
        <v>#VALUE!</v>
      </c>
      <c r="I27" s="1" t="s">
        <v>92</v>
      </c>
      <c r="J27" s="1" t="s">
        <v>20</v>
      </c>
      <c r="K27" s="1" t="s">
        <v>21</v>
      </c>
      <c r="L27" s="1" t="s">
        <v>21</v>
      </c>
      <c r="M27" s="1">
        <v>9.1</v>
      </c>
      <c r="N27" s="1">
        <v>10.994999999999999</v>
      </c>
      <c r="O27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29.907981697128911</v>
      </c>
      <c r="P27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380.76603871279377</v>
      </c>
      <c r="Q27" s="2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761.53207742558754</v>
      </c>
      <c r="R27" s="1">
        <v>0</v>
      </c>
      <c r="S27" s="1">
        <v>0</v>
      </c>
      <c r="T27" s="1">
        <v>90</v>
      </c>
      <c r="U27" s="28">
        <v>10</v>
      </c>
      <c r="V27" s="28">
        <v>10</v>
      </c>
      <c r="W27" s="28">
        <v>10</v>
      </c>
      <c r="X27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27" s="1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27" s="1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27" s="49">
        <v>0</v>
      </c>
      <c r="AB27" s="29">
        <v>0</v>
      </c>
      <c r="AC27" s="14">
        <v>0</v>
      </c>
      <c r="AD27" s="29">
        <v>254.3</v>
      </c>
      <c r="AE27" s="33" t="s">
        <v>58</v>
      </c>
      <c r="AF27" s="29">
        <v>0</v>
      </c>
      <c r="AG27" s="21">
        <v>127</v>
      </c>
      <c r="AH27" s="29">
        <f>IF(ISNUMBER(Tabella2[[#This Row],[Mean RADIAL stress  (MPa)]]), Tabella2[[#This Row],[Mean RADIAL stress  (MPa)]],"")</f>
        <v>0</v>
      </c>
      <c r="AI27" s="29">
        <f>IF(ISNUMBER(Tabella2[[#This Row],[Amplitute RADIAL stress  (MPa)]]), Tabella2[[#This Row],[Amplitute RADIAL stress  (MPa)]],"")</f>
        <v>0</v>
      </c>
      <c r="AJ27" s="29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27" s="29">
        <f>IF(ISNUMBER(Tabella2[[#This Row],[Amplitute AXIAL stress  (MPa)]]),    IF(Tabella2[[#This Row],[derived from (AXIAL/BENDING) load]]="AXIAL",Tabella2[[#This Row],[Amplitute AXIAL stress  (MPa)]]*Tabella2[[#This Row],[Area (mm^2)]],"Null"), "")</f>
        <v>7605.5997455798824</v>
      </c>
      <c r="AL27" s="29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Row],[Bending moment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Row],[Bending moment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Row],[Bending moment of inertia (mm^4)]]/(Tabella2[[#This Row],[B (mm)]]*0.5),"Null"))),"")</f>
        <v>Null</v>
      </c>
      <c r="AM27" s="29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Row],[Bending moment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Row],[Bending moment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Row],[Bending moment of inertia (mm^4)]]/(Tabella2[[#This Row],[B (mm)]]*0.5),"Null"))), "")</f>
        <v>Null</v>
      </c>
      <c r="AN27" s="29">
        <f>IF(ISNUMBER(Tabella2[[#This Row],[Mean SHEAR stress  (MPa)]]),  IF(AND(ISNUMBER(Tabella2[[#This Row],[Mean SHEAR stress  (MPa)]]), ISNUMBER(Tabella2[[#This Row],[Torsional moment of inertia (mm^4)]]), ISNUMBER(Tabella2[[#This Row],[Diameter (mm)]])), Tabella2[[#This Row],[Mean SHEAR stress  (MPa)]]*Tabella2[[#This Row],[Torsional moment of inertia (mm^4)]]/(0.5*Tabella2[[#This Row],[Diameter (mm)]]),"Null"), " ")</f>
        <v>0</v>
      </c>
      <c r="AO27" s="23">
        <f>IF(ISNUMBER(Tabella2[[#This Row],[Amplitute SHEAR stress  (MPa)]]), IF(AND(ISNUMBER(Tabella2[[#This Row],[Amplitute SHEAR stress  (MPa)]]), ISNUMBER(Tabella2[[#This Row],[Torsional moment of inertia (mm^4)]]), ISNUMBER(Tabella2[[#This Row],[Diameter (mm)]])),Tabella2[[#This Row],[Amplitute SHEAR stress  (MPa)]]*Tabella2[[#This Row],[Torsional moment of inertia (mm^4)]]/(0.5*Tabella2[[#This Row],[Diameter (mm)]]),"Null"), "")</f>
        <v>17592.464544438313</v>
      </c>
      <c r="AP27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0.49941014549744395</v>
      </c>
      <c r="AQ27" s="4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336.23725254647201</v>
      </c>
    </row>
    <row r="28" spans="1:43" s="17" customFormat="1" ht="20" customHeight="1" thickBot="1" x14ac:dyDescent="0.25">
      <c r="A28" s="17" t="s">
        <v>62</v>
      </c>
      <c r="B28" s="17">
        <v>2018</v>
      </c>
      <c r="C28" s="17" t="s">
        <v>63</v>
      </c>
      <c r="D28" s="17" t="s">
        <v>91</v>
      </c>
      <c r="E28" s="18">
        <v>116000</v>
      </c>
      <c r="F28" s="17" t="s">
        <v>20</v>
      </c>
      <c r="G28" s="22" t="s">
        <v>65</v>
      </c>
      <c r="H28" s="17" t="e" vm="1">
        <v>#VALUE!</v>
      </c>
      <c r="I28" s="17" t="s">
        <v>92</v>
      </c>
      <c r="J28" s="17" t="s">
        <v>20</v>
      </c>
      <c r="K28" s="17" t="s">
        <v>21</v>
      </c>
      <c r="L28" s="17" t="s">
        <v>21</v>
      </c>
      <c r="M28" s="17">
        <v>9.1120000000000001</v>
      </c>
      <c r="N28" s="17">
        <v>10.999000000000001</v>
      </c>
      <c r="O28" s="1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29.805433829730443</v>
      </c>
      <c r="P28" s="1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380.03147361433912</v>
      </c>
      <c r="Q28" s="36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760.06294722867824</v>
      </c>
      <c r="R28" s="17">
        <v>0</v>
      </c>
      <c r="S28" s="17">
        <v>0</v>
      </c>
      <c r="T28" s="17">
        <v>90</v>
      </c>
      <c r="U28" s="18">
        <v>1</v>
      </c>
      <c r="V28" s="18">
        <v>1</v>
      </c>
      <c r="W28" s="18">
        <v>1</v>
      </c>
      <c r="X28" s="17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28" s="17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28" s="17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28" s="51">
        <v>0</v>
      </c>
      <c r="AB28" s="19">
        <v>0</v>
      </c>
      <c r="AC28" s="20">
        <v>0</v>
      </c>
      <c r="AD28" s="19">
        <v>261.60000000000002</v>
      </c>
      <c r="AE28" s="34" t="s">
        <v>58</v>
      </c>
      <c r="AF28" s="19">
        <v>0</v>
      </c>
      <c r="AG28" s="22">
        <v>130.69999999999999</v>
      </c>
      <c r="AH28" s="19">
        <f>IF(ISNUMBER(Tabella2[[#This Row],[Mean RADIAL stress  (MPa)]]), Tabella2[[#This Row],[Mean RADIAL stress  (MPa)]],"")</f>
        <v>0</v>
      </c>
      <c r="AI28" s="19">
        <f>IF(ISNUMBER(Tabella2[[#This Row],[Amplitute RADIAL stress  (MPa)]]), Tabella2[[#This Row],[Amplitute RADIAL stress  (MPa)]],"")</f>
        <v>0</v>
      </c>
      <c r="AJ28" s="19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28" s="19">
        <f>IF(ISNUMBER(Tabella2[[#This Row],[Amplitute AXIAL stress  (MPa)]]),    IF(Tabella2[[#This Row],[derived from (AXIAL/BENDING) load]]="AXIAL",Tabella2[[#This Row],[Amplitute AXIAL stress  (MPa)]]*Tabella2[[#This Row],[Area (mm^2)]],"Null"), "")</f>
        <v>7797.1014898574849</v>
      </c>
      <c r="AL28" s="19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Row],[Bending moment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Row],[Bending moment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Row],[Bending moment of inertia (mm^4)]]/(Tabella2[[#This Row],[B (mm)]]*0.5),"Null"))),"")</f>
        <v>Null</v>
      </c>
      <c r="AM28" s="19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Row],[Bending moment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Row],[Bending moment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Row],[Bending moment of inertia (mm^4)]]/(Tabella2[[#This Row],[B (mm)]]*0.5),"Null"))), "")</f>
        <v>Null</v>
      </c>
      <c r="AN28" s="19">
        <f>IF(ISNUMBER(Tabella2[[#This Row],[Mean SHEAR stress  (MPa)]]),  IF(AND(ISNUMBER(Tabella2[[#This Row],[Mean SHEAR stress  (MPa)]]), ISNUMBER(Tabella2[[#This Row],[Torsional moment of inertia (mm^4)]]), ISNUMBER(Tabella2[[#This Row],[Diameter (mm)]])), Tabella2[[#This Row],[Mean SHEAR stress  (MPa)]]*Tabella2[[#This Row],[Torsional moment of inertia (mm^4)]]/(0.5*Tabella2[[#This Row],[Diameter (mm)]]),"Null"), " ")</f>
        <v>0</v>
      </c>
      <c r="AO28" s="40">
        <f>IF(ISNUMBER(Tabella2[[#This Row],[Amplitute SHEAR stress  (MPa)]]), IF(AND(ISNUMBER(Tabella2[[#This Row],[Amplitute SHEAR stress  (MPa)]]), ISNUMBER(Tabella2[[#This Row],[Torsional moment of inertia (mm^4)]]), ISNUMBER(Tabella2[[#This Row],[Diameter (mm)]])),Tabella2[[#This Row],[Amplitute SHEAR stress  (MPa)]]*Tabella2[[#This Row],[Torsional moment of inertia (mm^4)]]/(0.5*Tabella2[[#This Row],[Diameter (mm)]]),"Null"), "")</f>
        <v>18063.501627927672</v>
      </c>
      <c r="AP28" s="56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0.499617737003058</v>
      </c>
      <c r="AQ28" s="42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345.950906921777</v>
      </c>
    </row>
    <row r="29" spans="1:43" customFormat="1" ht="20" customHeight="1" x14ac:dyDescent="0.2">
      <c r="A29" s="1" t="s">
        <v>94</v>
      </c>
      <c r="B29" s="1">
        <v>2024</v>
      </c>
      <c r="C29" s="1" t="s">
        <v>97</v>
      </c>
      <c r="D29" s="1" t="s">
        <v>98</v>
      </c>
      <c r="E29" s="28">
        <v>38505</v>
      </c>
      <c r="F29" s="1" t="s">
        <v>20</v>
      </c>
      <c r="G29" s="21" t="s">
        <v>99</v>
      </c>
      <c r="H29" s="1" t="e" vm="4">
        <v>#VALUE!</v>
      </c>
      <c r="I29" s="1" t="s">
        <v>158</v>
      </c>
      <c r="J29" s="1" t="s">
        <v>32</v>
      </c>
      <c r="K29" s="1">
        <v>6</v>
      </c>
      <c r="L29" s="1">
        <v>4</v>
      </c>
      <c r="M29" s="1" t="s">
        <v>21</v>
      </c>
      <c r="N29" s="1" t="s">
        <v>21</v>
      </c>
      <c r="O29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24</v>
      </c>
      <c r="P29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32</v>
      </c>
      <c r="Q29" s="24" t="str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Cannot be calculated</v>
      </c>
      <c r="R29" s="1">
        <v>0</v>
      </c>
      <c r="S29" s="1">
        <v>0</v>
      </c>
      <c r="T29" s="1">
        <v>0</v>
      </c>
      <c r="U29" s="28">
        <v>8</v>
      </c>
      <c r="V29" s="28">
        <v>8</v>
      </c>
      <c r="W29" s="28">
        <v>8</v>
      </c>
      <c r="X29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29" s="1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</v>
      </c>
      <c r="Z29" s="1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29" s="49">
        <v>0</v>
      </c>
      <c r="AB29" s="29">
        <v>0</v>
      </c>
      <c r="AC29" s="14">
        <v>140</v>
      </c>
      <c r="AD29" s="29">
        <v>140</v>
      </c>
      <c r="AE29" s="33" t="s">
        <v>58</v>
      </c>
      <c r="AF29" s="29">
        <v>0</v>
      </c>
      <c r="AG29" s="23">
        <v>0</v>
      </c>
      <c r="AH29" s="29">
        <f>IF(ISNUMBER(Tabella2[[#This Row],[Mean RADIAL stress  (MPa)]]), Tabella2[[#This Row],[Mean RADIAL stress  (MPa)]],"")</f>
        <v>0</v>
      </c>
      <c r="AI29" s="29">
        <f>IF(ISNUMBER(Tabella2[[#This Row],[Amplitute RADIAL stress  (MPa)]]), Tabella2[[#This Row],[Amplitute RADIAL stress  (MPa)]],"")</f>
        <v>0</v>
      </c>
      <c r="AJ29" s="29">
        <f>IF(ISNUMBER(Tabella2[[#This Row],[Mean AXIAL stress  (MPa)]]), IF(Tabella2[[#This Row],[derived from (AXIAL/BENDING) load]]="AXIAL",Tabella2[[#This Row],[Mean AXIAL stress  (MPa)]]*Tabella2[[#This Row],[Area (mm^2)]],"Null"), "")</f>
        <v>3360</v>
      </c>
      <c r="AK29" s="29">
        <f>IF(ISNUMBER(Tabella2[[#This Row],[Amplitute AXIAL stress  (MPa)]]),    IF(Tabella2[[#This Row],[derived from (AXIAL/BENDING) load]]="AXIAL",Tabella2[[#This Row],[Amplitute AXIAL stress  (MPa)]]*Tabella2[[#This Row],[Area (mm^2)]],"Null"), "")</f>
        <v>3360</v>
      </c>
      <c r="AL29" s="29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Row],[Bending moment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Row],[Bending moment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Row],[Bending moment of inertia (mm^4)]]/(Tabella2[[#This Row],[B (mm)]]*0.5),"Null"))),"")</f>
        <v>Null</v>
      </c>
      <c r="AM29" s="29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Row],[Bending moment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Row],[Bending moment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Row],[Bending moment of inertia (mm^4)]]/(Tabella2[[#This Row],[B (mm)]]*0.5),"Null"))), "")</f>
        <v>Null</v>
      </c>
      <c r="AN29" s="29" t="str">
        <f>IF(ISNUMBER(Tabella2[[#This Row],[Mean SHEAR stress  (MPa)]]),  IF(AND(ISNUMBER(Tabella2[[#This Row],[Mean SHEAR stress  (MPa)]]), ISNUMBER(Tabella2[[#This Row],[Torsional moment of inertia (mm^4)]]), ISNUMBER(Tabella2[[#This Row],[Diameter (mm)]])), Tabella2[[#This Row],[Mean SHEAR stress  (MPa)]]*Tabella2[[#This Row],[Torsional moment of inertia (mm^4)]]/(0.5*Tabella2[[#This Row],[Diameter (mm)]]),"Null"), " ")</f>
        <v>Null</v>
      </c>
      <c r="AO29" s="23" t="str">
        <f>IF(ISNUMBER(Tabella2[[#This Row],[Amplitute SHEAR stress  (MPa)]]), IF(AND(ISNUMBER(Tabella2[[#This Row],[Amplitute SHEAR stress  (MPa)]]), ISNUMBER(Tabella2[[#This Row],[Torsional moment of inertia (mm^4)]]), ISNUMBER(Tabella2[[#This Row],[Diameter (mm)]])),Tabella2[[#This Row],[Amplitute SHEAR stress  (MPa)]]*Tabella2[[#This Row],[Torsional moment of inertia (mm^4)]]/(0.5*Tabella2[[#This Row],[Diameter (mm)]]),"Null"), "")</f>
        <v>Null</v>
      </c>
      <c r="AP29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29" s="4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140</v>
      </c>
    </row>
    <row r="30" spans="1:43" customFormat="1" ht="20" customHeight="1" x14ac:dyDescent="0.2">
      <c r="A30" s="1" t="s">
        <v>94</v>
      </c>
      <c r="B30" s="1">
        <v>2024</v>
      </c>
      <c r="C30" s="1" t="s">
        <v>97</v>
      </c>
      <c r="D30" s="1" t="s">
        <v>100</v>
      </c>
      <c r="E30" s="28">
        <v>89454</v>
      </c>
      <c r="F30" s="1" t="s">
        <v>20</v>
      </c>
      <c r="G30" s="21" t="s">
        <v>99</v>
      </c>
      <c r="H30" s="1" t="e" vm="5">
        <v>#VALUE!</v>
      </c>
      <c r="I30" s="1" t="s">
        <v>158</v>
      </c>
      <c r="J30" s="1" t="s">
        <v>32</v>
      </c>
      <c r="K30" s="1">
        <v>6</v>
      </c>
      <c r="L30" s="1">
        <v>4</v>
      </c>
      <c r="M30" s="1" t="s">
        <v>21</v>
      </c>
      <c r="N30" s="1" t="s">
        <v>21</v>
      </c>
      <c r="O30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24</v>
      </c>
      <c r="P30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32</v>
      </c>
      <c r="Q30" s="24" t="str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Cannot be calculated</v>
      </c>
      <c r="R30" s="1">
        <v>0</v>
      </c>
      <c r="S30" s="1">
        <v>0</v>
      </c>
      <c r="T30" s="1">
        <v>0</v>
      </c>
      <c r="U30" s="28">
        <v>8</v>
      </c>
      <c r="V30" s="28">
        <v>8</v>
      </c>
      <c r="W30" s="28">
        <v>8</v>
      </c>
      <c r="X30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30" s="1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</v>
      </c>
      <c r="Z30" s="1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30" s="49">
        <v>0</v>
      </c>
      <c r="AB30" s="29">
        <v>0</v>
      </c>
      <c r="AC30" s="14">
        <v>125</v>
      </c>
      <c r="AD30" s="29">
        <v>125</v>
      </c>
      <c r="AE30" s="33" t="s">
        <v>58</v>
      </c>
      <c r="AF30" s="29">
        <v>0</v>
      </c>
      <c r="AG30" s="23">
        <v>0</v>
      </c>
      <c r="AH30" s="29">
        <f>IF(ISNUMBER(Tabella2[[#This Row],[Mean RADIAL stress  (MPa)]]), Tabella2[[#This Row],[Mean RADIAL stress  (MPa)]],"")</f>
        <v>0</v>
      </c>
      <c r="AI30" s="29">
        <f>IF(ISNUMBER(Tabella2[[#This Row],[Amplitute RADIAL stress  (MPa)]]), Tabella2[[#This Row],[Amplitute RADIAL stress  (MPa)]],"")</f>
        <v>0</v>
      </c>
      <c r="AJ30" s="29">
        <f>IF(ISNUMBER(Tabella2[[#This Row],[Mean AXIAL stress  (MPa)]]), IF(Tabella2[[#This Row],[derived from (AXIAL/BENDING) load]]="AXIAL",Tabella2[[#This Row],[Mean AXIAL stress  (MPa)]]*Tabella2[[#This Row],[Area (mm^2)]],"Null"), "")</f>
        <v>3000</v>
      </c>
      <c r="AK30" s="29">
        <f>IF(ISNUMBER(Tabella2[[#This Row],[Amplitute AXIAL stress  (MPa)]]),    IF(Tabella2[[#This Row],[derived from (AXIAL/BENDING) load]]="AXIAL",Tabella2[[#This Row],[Amplitute AXIAL stress  (MPa)]]*Tabella2[[#This Row],[Area (mm^2)]],"Null"), "")</f>
        <v>3000</v>
      </c>
      <c r="AL30" s="29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Row],[Bending moment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Row],[Bending moment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Row],[Bending moment of inertia (mm^4)]]/(Tabella2[[#This Row],[B (mm)]]*0.5),"Null"))),"")</f>
        <v>Null</v>
      </c>
      <c r="AM30" s="29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Row],[Bending moment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Row],[Bending moment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Row],[Bending moment of inertia (mm^4)]]/(Tabella2[[#This Row],[B (mm)]]*0.5),"Null"))), "")</f>
        <v>Null</v>
      </c>
      <c r="AN30" s="29" t="str">
        <f>IF(ISNUMBER(Tabella2[[#This Row],[Mean SHEAR stress  (MPa)]]),  IF(AND(ISNUMBER(Tabella2[[#This Row],[Mean SHEAR stress  (MPa)]]), ISNUMBER(Tabella2[[#This Row],[Torsional moment of inertia (mm^4)]]), ISNUMBER(Tabella2[[#This Row],[Diameter (mm)]])), Tabella2[[#This Row],[Mean SHEAR stress  (MPa)]]*Tabella2[[#This Row],[Torsional moment of inertia (mm^4)]]/(0.5*Tabella2[[#This Row],[Diameter (mm)]]),"Null"), " ")</f>
        <v>Null</v>
      </c>
      <c r="AO30" s="23" t="str">
        <f>IF(ISNUMBER(Tabella2[[#This Row],[Amplitute SHEAR stress  (MPa)]]), IF(AND(ISNUMBER(Tabella2[[#This Row],[Amplitute SHEAR stress  (MPa)]]), ISNUMBER(Tabella2[[#This Row],[Torsional moment of inertia (mm^4)]]), ISNUMBER(Tabella2[[#This Row],[Diameter (mm)]])),Tabella2[[#This Row],[Amplitute SHEAR stress  (MPa)]]*Tabella2[[#This Row],[Torsional moment of inertia (mm^4)]]/(0.5*Tabella2[[#This Row],[Diameter (mm)]]),"Null"), "")</f>
        <v>Null</v>
      </c>
      <c r="AP30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30" s="4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125</v>
      </c>
    </row>
    <row r="31" spans="1:43" customFormat="1" ht="20" customHeight="1" x14ac:dyDescent="0.2">
      <c r="A31" s="1" t="s">
        <v>94</v>
      </c>
      <c r="B31" s="1">
        <v>2024</v>
      </c>
      <c r="C31" s="1" t="s">
        <v>97</v>
      </c>
      <c r="D31" s="1" t="s">
        <v>101</v>
      </c>
      <c r="E31" s="28">
        <v>201484</v>
      </c>
      <c r="F31" s="1" t="s">
        <v>20</v>
      </c>
      <c r="G31" s="21" t="s">
        <v>99</v>
      </c>
      <c r="H31" s="1" t="e" vm="5">
        <v>#VALUE!</v>
      </c>
      <c r="I31" s="1" t="s">
        <v>158</v>
      </c>
      <c r="J31" s="1" t="s">
        <v>32</v>
      </c>
      <c r="K31" s="1">
        <v>6</v>
      </c>
      <c r="L31" s="1">
        <v>4</v>
      </c>
      <c r="M31" s="1" t="s">
        <v>21</v>
      </c>
      <c r="N31" s="1" t="s">
        <v>21</v>
      </c>
      <c r="O31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24</v>
      </c>
      <c r="P31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32</v>
      </c>
      <c r="Q31" s="24" t="str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Cannot be calculated</v>
      </c>
      <c r="R31" s="1">
        <v>0</v>
      </c>
      <c r="S31" s="1">
        <v>0</v>
      </c>
      <c r="T31" s="1">
        <v>0</v>
      </c>
      <c r="U31" s="28">
        <v>8</v>
      </c>
      <c r="V31" s="28">
        <v>8</v>
      </c>
      <c r="W31" s="28">
        <v>8</v>
      </c>
      <c r="X31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31" s="1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</v>
      </c>
      <c r="Z31" s="1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31" s="49">
        <v>0</v>
      </c>
      <c r="AB31" s="29">
        <v>0</v>
      </c>
      <c r="AC31" s="14">
        <v>108.5</v>
      </c>
      <c r="AD31" s="29">
        <v>108.5</v>
      </c>
      <c r="AE31" s="33" t="s">
        <v>58</v>
      </c>
      <c r="AF31" s="29">
        <v>0</v>
      </c>
      <c r="AG31" s="23">
        <v>0</v>
      </c>
      <c r="AH31" s="29">
        <f>IF(ISNUMBER(Tabella2[[#This Row],[Mean RADIAL stress  (MPa)]]), Tabella2[[#This Row],[Mean RADIAL stress  (MPa)]],"")</f>
        <v>0</v>
      </c>
      <c r="AI31" s="29">
        <f>IF(ISNUMBER(Tabella2[[#This Row],[Amplitute RADIAL stress  (MPa)]]), Tabella2[[#This Row],[Amplitute RADIAL stress  (MPa)]],"")</f>
        <v>0</v>
      </c>
      <c r="AJ31" s="29">
        <f>IF(ISNUMBER(Tabella2[[#This Row],[Mean AXIAL stress  (MPa)]]), IF(Tabella2[[#This Row],[derived from (AXIAL/BENDING) load]]="AXIAL",Tabella2[[#This Row],[Mean AXIAL stress  (MPa)]]*Tabella2[[#This Row],[Area (mm^2)]],"Null"), "")</f>
        <v>2604</v>
      </c>
      <c r="AK31" s="29">
        <f>IF(ISNUMBER(Tabella2[[#This Row],[Amplitute AXIAL stress  (MPa)]]),    IF(Tabella2[[#This Row],[derived from (AXIAL/BENDING) load]]="AXIAL",Tabella2[[#This Row],[Amplitute AXIAL stress  (MPa)]]*Tabella2[[#This Row],[Area (mm^2)]],"Null"), "")</f>
        <v>2604</v>
      </c>
      <c r="AL31" s="29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Row],[Bending moment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Row],[Bending moment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Row],[Bending moment of inertia (mm^4)]]/(Tabella2[[#This Row],[B (mm)]]*0.5),"Null"))),"")</f>
        <v>Null</v>
      </c>
      <c r="AM31" s="29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Row],[Bending moment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Row],[Bending moment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Row],[Bending moment of inertia (mm^4)]]/(Tabella2[[#This Row],[B (mm)]]*0.5),"Null"))), "")</f>
        <v>Null</v>
      </c>
      <c r="AN31" s="29" t="str">
        <f>IF(ISNUMBER(Tabella2[[#This Row],[Mean SHEAR stress  (MPa)]]),  IF(AND(ISNUMBER(Tabella2[[#This Row],[Mean SHEAR stress  (MPa)]]), ISNUMBER(Tabella2[[#This Row],[Torsional moment of inertia (mm^4)]]), ISNUMBER(Tabella2[[#This Row],[Diameter (mm)]])), Tabella2[[#This Row],[Mean SHEAR stress  (MPa)]]*Tabella2[[#This Row],[Torsional moment of inertia (mm^4)]]/(0.5*Tabella2[[#This Row],[Diameter (mm)]]),"Null"), " ")</f>
        <v>Null</v>
      </c>
      <c r="AO31" s="23" t="str">
        <f>IF(ISNUMBER(Tabella2[[#This Row],[Amplitute SHEAR stress  (MPa)]]), IF(AND(ISNUMBER(Tabella2[[#This Row],[Amplitute SHEAR stress  (MPa)]]), ISNUMBER(Tabella2[[#This Row],[Torsional moment of inertia (mm^4)]]), ISNUMBER(Tabella2[[#This Row],[Diameter (mm)]])),Tabella2[[#This Row],[Amplitute SHEAR stress  (MPa)]]*Tabella2[[#This Row],[Torsional moment of inertia (mm^4)]]/(0.5*Tabella2[[#This Row],[Diameter (mm)]]),"Null"), "")</f>
        <v>Null</v>
      </c>
      <c r="AP31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31" s="4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108.5</v>
      </c>
    </row>
    <row r="32" spans="1:43" customFormat="1" ht="20" customHeight="1" x14ac:dyDescent="0.2">
      <c r="A32" s="1" t="s">
        <v>94</v>
      </c>
      <c r="B32" s="1">
        <v>2024</v>
      </c>
      <c r="C32" s="1" t="s">
        <v>97</v>
      </c>
      <c r="D32" s="1" t="s">
        <v>102</v>
      </c>
      <c r="E32" s="28">
        <v>247818</v>
      </c>
      <c r="F32" s="1" t="s">
        <v>20</v>
      </c>
      <c r="G32" s="21" t="s">
        <v>99</v>
      </c>
      <c r="H32" s="1" t="e" vm="5">
        <v>#VALUE!</v>
      </c>
      <c r="I32" s="1" t="s">
        <v>158</v>
      </c>
      <c r="J32" s="1" t="s">
        <v>32</v>
      </c>
      <c r="K32" s="1">
        <v>6</v>
      </c>
      <c r="L32" s="1">
        <v>4</v>
      </c>
      <c r="M32" s="1" t="s">
        <v>21</v>
      </c>
      <c r="N32" s="1" t="s">
        <v>21</v>
      </c>
      <c r="O32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24</v>
      </c>
      <c r="P32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32</v>
      </c>
      <c r="Q32" s="24" t="str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Cannot be calculated</v>
      </c>
      <c r="R32" s="1">
        <v>0</v>
      </c>
      <c r="S32" s="1">
        <v>0</v>
      </c>
      <c r="T32" s="1">
        <v>0</v>
      </c>
      <c r="U32" s="28">
        <v>8</v>
      </c>
      <c r="V32" s="28">
        <v>8</v>
      </c>
      <c r="W32" s="28">
        <v>8</v>
      </c>
      <c r="X32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32" s="1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</v>
      </c>
      <c r="Z32" s="1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32" s="49">
        <v>0</v>
      </c>
      <c r="AB32" s="29">
        <v>0</v>
      </c>
      <c r="AC32" s="14">
        <v>120</v>
      </c>
      <c r="AD32" s="29">
        <v>120</v>
      </c>
      <c r="AE32" s="33" t="s">
        <v>58</v>
      </c>
      <c r="AF32" s="29">
        <v>0</v>
      </c>
      <c r="AG32" s="23">
        <v>0</v>
      </c>
      <c r="AH32" s="29">
        <f>IF(ISNUMBER(Tabella2[[#This Row],[Mean RADIAL stress  (MPa)]]), Tabella2[[#This Row],[Mean RADIAL stress  (MPa)]],"")</f>
        <v>0</v>
      </c>
      <c r="AI32" s="29">
        <f>IF(ISNUMBER(Tabella2[[#This Row],[Amplitute RADIAL stress  (MPa)]]), Tabella2[[#This Row],[Amplitute RADIAL stress  (MPa)]],"")</f>
        <v>0</v>
      </c>
      <c r="AJ32" s="29">
        <f>IF(ISNUMBER(Tabella2[[#This Row],[Mean AXIAL stress  (MPa)]]), IF(Tabella2[[#This Row],[derived from (AXIAL/BENDING) load]]="AXIAL",Tabella2[[#This Row],[Mean AXIAL stress  (MPa)]]*Tabella2[[#This Row],[Area (mm^2)]],"Null"), "")</f>
        <v>2880</v>
      </c>
      <c r="AK32" s="29">
        <f>IF(ISNUMBER(Tabella2[[#This Row],[Amplitute AXIAL stress  (MPa)]]),    IF(Tabella2[[#This Row],[derived from (AXIAL/BENDING) load]]="AXIAL",Tabella2[[#This Row],[Amplitute AXIAL stress  (MPa)]]*Tabella2[[#This Row],[Area (mm^2)]],"Null"), "")</f>
        <v>2880</v>
      </c>
      <c r="AL32" s="29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Row],[Bending moment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Row],[Bending moment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Row],[Bending moment of inertia (mm^4)]]/(Tabella2[[#This Row],[B (mm)]]*0.5),"Null"))),"")</f>
        <v>Null</v>
      </c>
      <c r="AM32" s="29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Row],[Bending moment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Row],[Bending moment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Row],[Bending moment of inertia (mm^4)]]/(Tabella2[[#This Row],[B (mm)]]*0.5),"Null"))), "")</f>
        <v>Null</v>
      </c>
      <c r="AN32" s="29" t="str">
        <f>IF(ISNUMBER(Tabella2[[#This Row],[Mean SHEAR stress  (MPa)]]),  IF(AND(ISNUMBER(Tabella2[[#This Row],[Mean SHEAR stress  (MPa)]]), ISNUMBER(Tabella2[[#This Row],[Torsional moment of inertia (mm^4)]]), ISNUMBER(Tabella2[[#This Row],[Diameter (mm)]])), Tabella2[[#This Row],[Mean SHEAR stress  (MPa)]]*Tabella2[[#This Row],[Torsional moment of inertia (mm^4)]]/(0.5*Tabella2[[#This Row],[Diameter (mm)]]),"Null"), " ")</f>
        <v>Null</v>
      </c>
      <c r="AO32" s="23" t="str">
        <f>IF(ISNUMBER(Tabella2[[#This Row],[Amplitute SHEAR stress  (MPa)]]), IF(AND(ISNUMBER(Tabella2[[#This Row],[Amplitute SHEAR stress  (MPa)]]), ISNUMBER(Tabella2[[#This Row],[Torsional moment of inertia (mm^4)]]), ISNUMBER(Tabella2[[#This Row],[Diameter (mm)]])),Tabella2[[#This Row],[Amplitute SHEAR stress  (MPa)]]*Tabella2[[#This Row],[Torsional moment of inertia (mm^4)]]/(0.5*Tabella2[[#This Row],[Diameter (mm)]]),"Null"), "")</f>
        <v>Null</v>
      </c>
      <c r="AP32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32" s="4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120</v>
      </c>
    </row>
    <row r="33" spans="1:43" customFormat="1" ht="20" customHeight="1" x14ac:dyDescent="0.2">
      <c r="A33" s="1" t="s">
        <v>94</v>
      </c>
      <c r="B33" s="1">
        <v>2024</v>
      </c>
      <c r="C33" s="1" t="s">
        <v>97</v>
      </c>
      <c r="D33" s="1" t="s">
        <v>103</v>
      </c>
      <c r="E33" s="28">
        <v>261733</v>
      </c>
      <c r="F33" s="1" t="s">
        <v>20</v>
      </c>
      <c r="G33" s="21" t="s">
        <v>99</v>
      </c>
      <c r="H33" s="1" t="e" vm="5">
        <v>#VALUE!</v>
      </c>
      <c r="I33" s="1" t="s">
        <v>158</v>
      </c>
      <c r="J33" s="1" t="s">
        <v>32</v>
      </c>
      <c r="K33" s="1">
        <v>6</v>
      </c>
      <c r="L33" s="1">
        <v>4</v>
      </c>
      <c r="M33" s="1" t="s">
        <v>21</v>
      </c>
      <c r="N33" s="1" t="s">
        <v>21</v>
      </c>
      <c r="O33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24</v>
      </c>
      <c r="P33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32</v>
      </c>
      <c r="Q33" s="24" t="str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Cannot be calculated</v>
      </c>
      <c r="R33" s="1">
        <v>0</v>
      </c>
      <c r="S33" s="1">
        <v>0</v>
      </c>
      <c r="T33" s="1">
        <v>0</v>
      </c>
      <c r="U33" s="28">
        <v>8</v>
      </c>
      <c r="V33" s="28">
        <v>8</v>
      </c>
      <c r="W33" s="28">
        <v>8</v>
      </c>
      <c r="X33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33" s="1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</v>
      </c>
      <c r="Z33" s="1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33" s="49">
        <v>0</v>
      </c>
      <c r="AB33" s="29">
        <v>0</v>
      </c>
      <c r="AC33" s="14">
        <v>108.5</v>
      </c>
      <c r="AD33" s="29">
        <v>108.5</v>
      </c>
      <c r="AE33" s="33" t="s">
        <v>58</v>
      </c>
      <c r="AF33" s="29">
        <v>0</v>
      </c>
      <c r="AG33" s="23">
        <v>0</v>
      </c>
      <c r="AH33" s="29">
        <f>IF(ISNUMBER(Tabella2[[#This Row],[Mean RADIAL stress  (MPa)]]), Tabella2[[#This Row],[Mean RADIAL stress  (MPa)]],"")</f>
        <v>0</v>
      </c>
      <c r="AI33" s="29">
        <f>IF(ISNUMBER(Tabella2[[#This Row],[Amplitute RADIAL stress  (MPa)]]), Tabella2[[#This Row],[Amplitute RADIAL stress  (MPa)]],"")</f>
        <v>0</v>
      </c>
      <c r="AJ33" s="29">
        <f>IF(ISNUMBER(Tabella2[[#This Row],[Mean AXIAL stress  (MPa)]]), IF(Tabella2[[#This Row],[derived from (AXIAL/BENDING) load]]="AXIAL",Tabella2[[#This Row],[Mean AXIAL stress  (MPa)]]*Tabella2[[#This Row],[Area (mm^2)]],"Null"), "")</f>
        <v>2604</v>
      </c>
      <c r="AK33" s="29">
        <f>IF(ISNUMBER(Tabella2[[#This Row],[Amplitute AXIAL stress  (MPa)]]),    IF(Tabella2[[#This Row],[derived from (AXIAL/BENDING) load]]="AXIAL",Tabella2[[#This Row],[Amplitute AXIAL stress  (MPa)]]*Tabella2[[#This Row],[Area (mm^2)]],"Null"), "")</f>
        <v>2604</v>
      </c>
      <c r="AL33" s="29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Row],[Bending moment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Row],[Bending moment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Row],[Bending moment of inertia (mm^4)]]/(Tabella2[[#This Row],[B (mm)]]*0.5),"Null"))),"")</f>
        <v>Null</v>
      </c>
      <c r="AM33" s="29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Row],[Bending moment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Row],[Bending moment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Row],[Bending moment of inertia (mm^4)]]/(Tabella2[[#This Row],[B (mm)]]*0.5),"Null"))), "")</f>
        <v>Null</v>
      </c>
      <c r="AN33" s="29" t="str">
        <f>IF(ISNUMBER(Tabella2[[#This Row],[Mean SHEAR stress  (MPa)]]),  IF(AND(ISNUMBER(Tabella2[[#This Row],[Mean SHEAR stress  (MPa)]]), ISNUMBER(Tabella2[[#This Row],[Torsional moment of inertia (mm^4)]]), ISNUMBER(Tabella2[[#This Row],[Diameter (mm)]])), Tabella2[[#This Row],[Mean SHEAR stress  (MPa)]]*Tabella2[[#This Row],[Torsional moment of inertia (mm^4)]]/(0.5*Tabella2[[#This Row],[Diameter (mm)]]),"Null"), " ")</f>
        <v>Null</v>
      </c>
      <c r="AO33" s="23" t="str">
        <f>IF(ISNUMBER(Tabella2[[#This Row],[Amplitute SHEAR stress  (MPa)]]), IF(AND(ISNUMBER(Tabella2[[#This Row],[Amplitute SHEAR stress  (MPa)]]), ISNUMBER(Tabella2[[#This Row],[Torsional moment of inertia (mm^4)]]), ISNUMBER(Tabella2[[#This Row],[Diameter (mm)]])),Tabella2[[#This Row],[Amplitute SHEAR stress  (MPa)]]*Tabella2[[#This Row],[Torsional moment of inertia (mm^4)]]/(0.5*Tabella2[[#This Row],[Diameter (mm)]]),"Null"), "")</f>
        <v>Null</v>
      </c>
      <c r="AP33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33" s="4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108.5</v>
      </c>
    </row>
    <row r="34" spans="1:43" customFormat="1" ht="20" customHeight="1" x14ac:dyDescent="0.2">
      <c r="A34" s="1" t="s">
        <v>94</v>
      </c>
      <c r="B34" s="1">
        <v>2024</v>
      </c>
      <c r="C34" s="1" t="s">
        <v>97</v>
      </c>
      <c r="D34" s="1" t="s">
        <v>104</v>
      </c>
      <c r="E34" s="28">
        <v>347141</v>
      </c>
      <c r="F34" s="1" t="s">
        <v>20</v>
      </c>
      <c r="G34" s="21" t="s">
        <v>99</v>
      </c>
      <c r="H34" s="1" t="e" vm="5">
        <v>#VALUE!</v>
      </c>
      <c r="I34" s="1" t="s">
        <v>158</v>
      </c>
      <c r="J34" s="1" t="s">
        <v>32</v>
      </c>
      <c r="K34" s="1">
        <v>6</v>
      </c>
      <c r="L34" s="1">
        <v>4</v>
      </c>
      <c r="M34" s="1" t="s">
        <v>21</v>
      </c>
      <c r="N34" s="1" t="s">
        <v>21</v>
      </c>
      <c r="O34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24</v>
      </c>
      <c r="P34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32</v>
      </c>
      <c r="Q34" s="24" t="str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Cannot be calculated</v>
      </c>
      <c r="R34" s="1">
        <v>0</v>
      </c>
      <c r="S34" s="1">
        <v>0</v>
      </c>
      <c r="T34" s="1">
        <v>0</v>
      </c>
      <c r="U34" s="28">
        <v>8</v>
      </c>
      <c r="V34" s="28">
        <v>8</v>
      </c>
      <c r="W34" s="28">
        <v>8</v>
      </c>
      <c r="X34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34" s="1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</v>
      </c>
      <c r="Z34" s="1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34" s="49">
        <v>0</v>
      </c>
      <c r="AB34" s="29">
        <v>0</v>
      </c>
      <c r="AC34" s="14">
        <v>100</v>
      </c>
      <c r="AD34" s="29">
        <v>100</v>
      </c>
      <c r="AE34" s="33" t="s">
        <v>58</v>
      </c>
      <c r="AF34" s="29">
        <v>0</v>
      </c>
      <c r="AG34" s="23">
        <v>0</v>
      </c>
      <c r="AH34" s="29">
        <f>IF(ISNUMBER(Tabella2[[#This Row],[Mean RADIAL stress  (MPa)]]), Tabella2[[#This Row],[Mean RADIAL stress  (MPa)]],"")</f>
        <v>0</v>
      </c>
      <c r="AI34" s="29">
        <f>IF(ISNUMBER(Tabella2[[#This Row],[Amplitute RADIAL stress  (MPa)]]), Tabella2[[#This Row],[Amplitute RADIAL stress  (MPa)]],"")</f>
        <v>0</v>
      </c>
      <c r="AJ34" s="29">
        <f>IF(ISNUMBER(Tabella2[[#This Row],[Mean AXIAL stress  (MPa)]]), IF(Tabella2[[#This Row],[derived from (AXIAL/BENDING) load]]="AXIAL",Tabella2[[#This Row],[Mean AXIAL stress  (MPa)]]*Tabella2[[#This Row],[Area (mm^2)]],"Null"), "")</f>
        <v>2400</v>
      </c>
      <c r="AK34" s="29">
        <f>IF(ISNUMBER(Tabella2[[#This Row],[Amplitute AXIAL stress  (MPa)]]),    IF(Tabella2[[#This Row],[derived from (AXIAL/BENDING) load]]="AXIAL",Tabella2[[#This Row],[Amplitute AXIAL stress  (MPa)]]*Tabella2[[#This Row],[Area (mm^2)]],"Null"), "")</f>
        <v>2400</v>
      </c>
      <c r="AL34" s="29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Row],[Bending moment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Row],[Bending moment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Row],[Bending moment of inertia (mm^4)]]/(Tabella2[[#This Row],[B (mm)]]*0.5),"Null"))),"")</f>
        <v>Null</v>
      </c>
      <c r="AM34" s="29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Row],[Bending moment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Row],[Bending moment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Row],[Bending moment of inertia (mm^4)]]/(Tabella2[[#This Row],[B (mm)]]*0.5),"Null"))), "")</f>
        <v>Null</v>
      </c>
      <c r="AN34" s="29" t="str">
        <f>IF(ISNUMBER(Tabella2[[#This Row],[Mean SHEAR stress  (MPa)]]),  IF(AND(ISNUMBER(Tabella2[[#This Row],[Mean SHEAR stress  (MPa)]]), ISNUMBER(Tabella2[[#This Row],[Torsional moment of inertia (mm^4)]]), ISNUMBER(Tabella2[[#This Row],[Diameter (mm)]])), Tabella2[[#This Row],[Mean SHEAR stress  (MPa)]]*Tabella2[[#This Row],[Torsional moment of inertia (mm^4)]]/(0.5*Tabella2[[#This Row],[Diameter (mm)]]),"Null"), " ")</f>
        <v>Null</v>
      </c>
      <c r="AO34" s="23" t="str">
        <f>IF(ISNUMBER(Tabella2[[#This Row],[Amplitute SHEAR stress  (MPa)]]), IF(AND(ISNUMBER(Tabella2[[#This Row],[Amplitute SHEAR stress  (MPa)]]), ISNUMBER(Tabella2[[#This Row],[Torsional moment of inertia (mm^4)]]), ISNUMBER(Tabella2[[#This Row],[Diameter (mm)]])),Tabella2[[#This Row],[Amplitute SHEAR stress  (MPa)]]*Tabella2[[#This Row],[Torsional moment of inertia (mm^4)]]/(0.5*Tabella2[[#This Row],[Diameter (mm)]]),"Null"), "")</f>
        <v>Null</v>
      </c>
      <c r="AP34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34" s="4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100</v>
      </c>
    </row>
    <row r="35" spans="1:43" customFormat="1" ht="20" customHeight="1" x14ac:dyDescent="0.2">
      <c r="A35" s="1" t="s">
        <v>94</v>
      </c>
      <c r="B35" s="1">
        <v>2024</v>
      </c>
      <c r="C35" s="1" t="s">
        <v>97</v>
      </c>
      <c r="D35" s="1" t="s">
        <v>105</v>
      </c>
      <c r="E35" s="28">
        <v>347221</v>
      </c>
      <c r="F35" s="1" t="s">
        <v>20</v>
      </c>
      <c r="G35" s="21" t="s">
        <v>99</v>
      </c>
      <c r="H35" s="1" t="e" vm="5">
        <v>#VALUE!</v>
      </c>
      <c r="I35" s="1" t="s">
        <v>158</v>
      </c>
      <c r="J35" s="1" t="s">
        <v>32</v>
      </c>
      <c r="K35" s="1">
        <v>6</v>
      </c>
      <c r="L35" s="1">
        <v>4</v>
      </c>
      <c r="M35" s="1" t="s">
        <v>21</v>
      </c>
      <c r="N35" s="1" t="s">
        <v>21</v>
      </c>
      <c r="O35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24</v>
      </c>
      <c r="P35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32</v>
      </c>
      <c r="Q35" s="24" t="str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Cannot be calculated</v>
      </c>
      <c r="R35" s="1">
        <v>0</v>
      </c>
      <c r="S35" s="1">
        <v>0</v>
      </c>
      <c r="T35" s="1">
        <v>0</v>
      </c>
      <c r="U35" s="28">
        <v>8</v>
      </c>
      <c r="V35" s="28">
        <v>8</v>
      </c>
      <c r="W35" s="28">
        <v>8</v>
      </c>
      <c r="X35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35" s="1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</v>
      </c>
      <c r="Z35" s="1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35" s="49">
        <v>0</v>
      </c>
      <c r="AB35" s="29">
        <v>0</v>
      </c>
      <c r="AC35" s="14">
        <v>104</v>
      </c>
      <c r="AD35" s="29">
        <v>104</v>
      </c>
      <c r="AE35" s="33" t="s">
        <v>58</v>
      </c>
      <c r="AF35" s="29">
        <v>0</v>
      </c>
      <c r="AG35" s="23">
        <v>0</v>
      </c>
      <c r="AH35" s="29">
        <f>IF(ISNUMBER(Tabella2[[#This Row],[Mean RADIAL stress  (MPa)]]), Tabella2[[#This Row],[Mean RADIAL stress  (MPa)]],"")</f>
        <v>0</v>
      </c>
      <c r="AI35" s="29">
        <f>IF(ISNUMBER(Tabella2[[#This Row],[Amplitute RADIAL stress  (MPa)]]), Tabella2[[#This Row],[Amplitute RADIAL stress  (MPa)]],"")</f>
        <v>0</v>
      </c>
      <c r="AJ35" s="29">
        <f>IF(ISNUMBER(Tabella2[[#This Row],[Mean AXIAL stress  (MPa)]]), IF(Tabella2[[#This Row],[derived from (AXIAL/BENDING) load]]="AXIAL",Tabella2[[#This Row],[Mean AXIAL stress  (MPa)]]*Tabella2[[#This Row],[Area (mm^2)]],"Null"), "")</f>
        <v>2496</v>
      </c>
      <c r="AK35" s="29">
        <f>IF(ISNUMBER(Tabella2[[#This Row],[Amplitute AXIAL stress  (MPa)]]),    IF(Tabella2[[#This Row],[derived from (AXIAL/BENDING) load]]="AXIAL",Tabella2[[#This Row],[Amplitute AXIAL stress  (MPa)]]*Tabella2[[#This Row],[Area (mm^2)]],"Null"), "")</f>
        <v>2496</v>
      </c>
      <c r="AL35" s="29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Row],[Bending moment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Row],[Bending moment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Row],[Bending moment of inertia (mm^4)]]/(Tabella2[[#This Row],[B (mm)]]*0.5),"Null"))),"")</f>
        <v>Null</v>
      </c>
      <c r="AM35" s="29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Row],[Bending moment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Row],[Bending moment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Row],[Bending moment of inertia (mm^4)]]/(Tabella2[[#This Row],[B (mm)]]*0.5),"Null"))), "")</f>
        <v>Null</v>
      </c>
      <c r="AN35" s="29" t="str">
        <f>IF(ISNUMBER(Tabella2[[#This Row],[Mean SHEAR stress  (MPa)]]),  IF(AND(ISNUMBER(Tabella2[[#This Row],[Mean SHEAR stress  (MPa)]]), ISNUMBER(Tabella2[[#This Row],[Torsional moment of inertia (mm^4)]]), ISNUMBER(Tabella2[[#This Row],[Diameter (mm)]])), Tabella2[[#This Row],[Mean SHEAR stress  (MPa)]]*Tabella2[[#This Row],[Torsional moment of inertia (mm^4)]]/(0.5*Tabella2[[#This Row],[Diameter (mm)]]),"Null"), " ")</f>
        <v>Null</v>
      </c>
      <c r="AO35" s="23" t="str">
        <f>IF(ISNUMBER(Tabella2[[#This Row],[Amplitute SHEAR stress  (MPa)]]), IF(AND(ISNUMBER(Tabella2[[#This Row],[Amplitute SHEAR stress  (MPa)]]), ISNUMBER(Tabella2[[#This Row],[Torsional moment of inertia (mm^4)]]), ISNUMBER(Tabella2[[#This Row],[Diameter (mm)]])),Tabella2[[#This Row],[Amplitute SHEAR stress  (MPa)]]*Tabella2[[#This Row],[Torsional moment of inertia (mm^4)]]/(0.5*Tabella2[[#This Row],[Diameter (mm)]]),"Null"), "")</f>
        <v>Null</v>
      </c>
      <c r="AP35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35" s="4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104</v>
      </c>
    </row>
    <row r="36" spans="1:43" customFormat="1" ht="20" customHeight="1" x14ac:dyDescent="0.2">
      <c r="A36" s="1" t="s">
        <v>94</v>
      </c>
      <c r="B36" s="1">
        <v>2024</v>
      </c>
      <c r="C36" s="1" t="s">
        <v>97</v>
      </c>
      <c r="D36" s="1" t="s">
        <v>106</v>
      </c>
      <c r="E36" s="28">
        <v>369481</v>
      </c>
      <c r="F36" s="1" t="s">
        <v>20</v>
      </c>
      <c r="G36" s="21" t="s">
        <v>99</v>
      </c>
      <c r="H36" s="1" t="e" vm="5">
        <v>#VALUE!</v>
      </c>
      <c r="I36" s="1" t="s">
        <v>158</v>
      </c>
      <c r="J36" s="1" t="s">
        <v>32</v>
      </c>
      <c r="K36" s="1">
        <v>6</v>
      </c>
      <c r="L36" s="1">
        <v>4</v>
      </c>
      <c r="M36" s="1" t="s">
        <v>21</v>
      </c>
      <c r="N36" s="1" t="s">
        <v>21</v>
      </c>
      <c r="O36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24</v>
      </c>
      <c r="P36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32</v>
      </c>
      <c r="Q36" s="24" t="str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Cannot be calculated</v>
      </c>
      <c r="R36" s="1">
        <v>0</v>
      </c>
      <c r="S36" s="1">
        <v>0</v>
      </c>
      <c r="T36" s="1">
        <v>0</v>
      </c>
      <c r="U36" s="28">
        <v>8</v>
      </c>
      <c r="V36" s="28">
        <v>8</v>
      </c>
      <c r="W36" s="28">
        <v>8</v>
      </c>
      <c r="X36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36" s="1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</v>
      </c>
      <c r="Z36" s="1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36" s="49">
        <v>0</v>
      </c>
      <c r="AB36" s="29">
        <v>0</v>
      </c>
      <c r="AC36" s="14">
        <v>100</v>
      </c>
      <c r="AD36" s="29">
        <v>100</v>
      </c>
      <c r="AE36" s="33" t="s">
        <v>58</v>
      </c>
      <c r="AF36" s="29">
        <v>0</v>
      </c>
      <c r="AG36" s="23">
        <v>0</v>
      </c>
      <c r="AH36" s="29">
        <f>IF(ISNUMBER(Tabella2[[#This Row],[Mean RADIAL stress  (MPa)]]), Tabella2[[#This Row],[Mean RADIAL stress  (MPa)]],"")</f>
        <v>0</v>
      </c>
      <c r="AI36" s="29">
        <f>IF(ISNUMBER(Tabella2[[#This Row],[Amplitute RADIAL stress  (MPa)]]), Tabella2[[#This Row],[Amplitute RADIAL stress  (MPa)]],"")</f>
        <v>0</v>
      </c>
      <c r="AJ36" s="29">
        <f>IF(ISNUMBER(Tabella2[[#This Row],[Mean AXIAL stress  (MPa)]]), IF(Tabella2[[#This Row],[derived from (AXIAL/BENDING) load]]="AXIAL",Tabella2[[#This Row],[Mean AXIAL stress  (MPa)]]*Tabella2[[#This Row],[Area (mm^2)]],"Null"), "")</f>
        <v>2400</v>
      </c>
      <c r="AK36" s="29">
        <f>IF(ISNUMBER(Tabella2[[#This Row],[Amplitute AXIAL stress  (MPa)]]),    IF(Tabella2[[#This Row],[derived from (AXIAL/BENDING) load]]="AXIAL",Tabella2[[#This Row],[Amplitute AXIAL stress  (MPa)]]*Tabella2[[#This Row],[Area (mm^2)]],"Null"), "")</f>
        <v>2400</v>
      </c>
      <c r="AL36" s="29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Row],[Bending moment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Row],[Bending moment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Row],[Bending moment of inertia (mm^4)]]/(Tabella2[[#This Row],[B (mm)]]*0.5),"Null"))),"")</f>
        <v>Null</v>
      </c>
      <c r="AM36" s="29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Row],[Bending moment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Row],[Bending moment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Row],[Bending moment of inertia (mm^4)]]/(Tabella2[[#This Row],[B (mm)]]*0.5),"Null"))), "")</f>
        <v>Null</v>
      </c>
      <c r="AN36" s="29" t="str">
        <f>IF(ISNUMBER(Tabella2[[#This Row],[Mean SHEAR stress  (MPa)]]),  IF(AND(ISNUMBER(Tabella2[[#This Row],[Mean SHEAR stress  (MPa)]]), ISNUMBER(Tabella2[[#This Row],[Torsional moment of inertia (mm^4)]]), ISNUMBER(Tabella2[[#This Row],[Diameter (mm)]])), Tabella2[[#This Row],[Mean SHEAR stress  (MPa)]]*Tabella2[[#This Row],[Torsional moment of inertia (mm^4)]]/(0.5*Tabella2[[#This Row],[Diameter (mm)]]),"Null"), " ")</f>
        <v>Null</v>
      </c>
      <c r="AO36" s="23" t="str">
        <f>IF(ISNUMBER(Tabella2[[#This Row],[Amplitute SHEAR stress  (MPa)]]), IF(AND(ISNUMBER(Tabella2[[#This Row],[Amplitute SHEAR stress  (MPa)]]), ISNUMBER(Tabella2[[#This Row],[Torsional moment of inertia (mm^4)]]), ISNUMBER(Tabella2[[#This Row],[Diameter (mm)]])),Tabella2[[#This Row],[Amplitute SHEAR stress  (MPa)]]*Tabella2[[#This Row],[Torsional moment of inertia (mm^4)]]/(0.5*Tabella2[[#This Row],[Diameter (mm)]]),"Null"), "")</f>
        <v>Null</v>
      </c>
      <c r="AP36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36" s="4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100</v>
      </c>
    </row>
    <row r="37" spans="1:43" customFormat="1" ht="20" customHeight="1" x14ac:dyDescent="0.2">
      <c r="A37" s="1" t="s">
        <v>94</v>
      </c>
      <c r="B37" s="1">
        <v>2024</v>
      </c>
      <c r="C37" s="1" t="s">
        <v>97</v>
      </c>
      <c r="D37" s="1" t="s">
        <v>107</v>
      </c>
      <c r="E37" s="28">
        <v>436200</v>
      </c>
      <c r="F37" s="1" t="s">
        <v>20</v>
      </c>
      <c r="G37" s="21" t="s">
        <v>99</v>
      </c>
      <c r="H37" s="1" t="e" vm="5">
        <v>#VALUE!</v>
      </c>
      <c r="I37" s="1" t="s">
        <v>158</v>
      </c>
      <c r="J37" s="1" t="s">
        <v>32</v>
      </c>
      <c r="K37" s="1">
        <v>6</v>
      </c>
      <c r="L37" s="1">
        <v>4</v>
      </c>
      <c r="M37" s="1" t="s">
        <v>21</v>
      </c>
      <c r="N37" s="1" t="s">
        <v>21</v>
      </c>
      <c r="O37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24</v>
      </c>
      <c r="P37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32</v>
      </c>
      <c r="Q37" s="24" t="str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Cannot be calculated</v>
      </c>
      <c r="R37" s="1">
        <v>0</v>
      </c>
      <c r="S37" s="1">
        <v>0</v>
      </c>
      <c r="T37" s="1">
        <v>0</v>
      </c>
      <c r="U37" s="28">
        <v>8</v>
      </c>
      <c r="V37" s="28">
        <v>8</v>
      </c>
      <c r="W37" s="28">
        <v>8</v>
      </c>
      <c r="X37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37" s="1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</v>
      </c>
      <c r="Z37" s="1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37" s="49">
        <v>0</v>
      </c>
      <c r="AB37" s="29">
        <v>0</v>
      </c>
      <c r="AC37" s="14">
        <v>95</v>
      </c>
      <c r="AD37" s="29">
        <v>95</v>
      </c>
      <c r="AE37" s="33" t="s">
        <v>58</v>
      </c>
      <c r="AF37" s="29">
        <v>0</v>
      </c>
      <c r="AG37" s="23">
        <v>0</v>
      </c>
      <c r="AH37" s="29">
        <f>IF(ISNUMBER(Tabella2[[#This Row],[Mean RADIAL stress  (MPa)]]), Tabella2[[#This Row],[Mean RADIAL stress  (MPa)]],"")</f>
        <v>0</v>
      </c>
      <c r="AI37" s="29">
        <f>IF(ISNUMBER(Tabella2[[#This Row],[Amplitute RADIAL stress  (MPa)]]), Tabella2[[#This Row],[Amplitute RADIAL stress  (MPa)]],"")</f>
        <v>0</v>
      </c>
      <c r="AJ37" s="29">
        <f>IF(ISNUMBER(Tabella2[[#This Row],[Mean AXIAL stress  (MPa)]]), IF(Tabella2[[#This Row],[derived from (AXIAL/BENDING) load]]="AXIAL",Tabella2[[#This Row],[Mean AXIAL stress  (MPa)]]*Tabella2[[#This Row],[Area (mm^2)]],"Null"), "")</f>
        <v>2280</v>
      </c>
      <c r="AK37" s="29">
        <f>IF(ISNUMBER(Tabella2[[#This Row],[Amplitute AXIAL stress  (MPa)]]),    IF(Tabella2[[#This Row],[derived from (AXIAL/BENDING) load]]="AXIAL",Tabella2[[#This Row],[Amplitute AXIAL stress  (MPa)]]*Tabella2[[#This Row],[Area (mm^2)]],"Null"), "")</f>
        <v>2280</v>
      </c>
      <c r="AL37" s="29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Row],[Bending moment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Row],[Bending moment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Row],[Bending moment of inertia (mm^4)]]/(Tabella2[[#This Row],[B (mm)]]*0.5),"Null"))),"")</f>
        <v>Null</v>
      </c>
      <c r="AM37" s="29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Row],[Bending moment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Row],[Bending moment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Row],[Bending moment of inertia (mm^4)]]/(Tabella2[[#This Row],[B (mm)]]*0.5),"Null"))), "")</f>
        <v>Null</v>
      </c>
      <c r="AN37" s="29" t="str">
        <f>IF(ISNUMBER(Tabella2[[#This Row],[Mean SHEAR stress  (MPa)]]),  IF(AND(ISNUMBER(Tabella2[[#This Row],[Mean SHEAR stress  (MPa)]]), ISNUMBER(Tabella2[[#This Row],[Torsional moment of inertia (mm^4)]]), ISNUMBER(Tabella2[[#This Row],[Diameter (mm)]])), Tabella2[[#This Row],[Mean SHEAR stress  (MPa)]]*Tabella2[[#This Row],[Torsional moment of inertia (mm^4)]]/(0.5*Tabella2[[#This Row],[Diameter (mm)]]),"Null"), " ")</f>
        <v>Null</v>
      </c>
      <c r="AO37" s="23" t="str">
        <f>IF(ISNUMBER(Tabella2[[#This Row],[Amplitute SHEAR stress  (MPa)]]), IF(AND(ISNUMBER(Tabella2[[#This Row],[Amplitute SHEAR stress  (MPa)]]), ISNUMBER(Tabella2[[#This Row],[Torsional moment of inertia (mm^4)]]), ISNUMBER(Tabella2[[#This Row],[Diameter (mm)]])),Tabella2[[#This Row],[Amplitute SHEAR stress  (MPa)]]*Tabella2[[#This Row],[Torsional moment of inertia (mm^4)]]/(0.5*Tabella2[[#This Row],[Diameter (mm)]]),"Null"), "")</f>
        <v>Null</v>
      </c>
      <c r="AP37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37" s="4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95</v>
      </c>
    </row>
    <row r="38" spans="1:43" customFormat="1" ht="20" customHeight="1" x14ac:dyDescent="0.2">
      <c r="A38" s="1" t="s">
        <v>94</v>
      </c>
      <c r="B38" s="1">
        <v>2024</v>
      </c>
      <c r="C38" s="1" t="s">
        <v>97</v>
      </c>
      <c r="D38" s="1" t="s">
        <v>108</v>
      </c>
      <c r="E38" s="28">
        <v>515532</v>
      </c>
      <c r="F38" s="1" t="s">
        <v>20</v>
      </c>
      <c r="G38" s="21" t="s">
        <v>99</v>
      </c>
      <c r="H38" s="1" t="e" vm="5">
        <v>#VALUE!</v>
      </c>
      <c r="I38" s="1" t="s">
        <v>158</v>
      </c>
      <c r="J38" s="1" t="s">
        <v>32</v>
      </c>
      <c r="K38" s="1">
        <v>6</v>
      </c>
      <c r="L38" s="1">
        <v>4</v>
      </c>
      <c r="M38" s="1" t="s">
        <v>21</v>
      </c>
      <c r="N38" s="1" t="s">
        <v>21</v>
      </c>
      <c r="O38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24</v>
      </c>
      <c r="P38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32</v>
      </c>
      <c r="Q38" s="24" t="str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Cannot be calculated</v>
      </c>
      <c r="R38" s="1">
        <v>0</v>
      </c>
      <c r="S38" s="1">
        <v>0</v>
      </c>
      <c r="T38" s="1">
        <v>0</v>
      </c>
      <c r="U38" s="28">
        <v>8</v>
      </c>
      <c r="V38" s="28">
        <v>8</v>
      </c>
      <c r="W38" s="28">
        <v>8</v>
      </c>
      <c r="X38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38" s="1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</v>
      </c>
      <c r="Z38" s="1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38" s="49">
        <v>0</v>
      </c>
      <c r="AB38" s="29">
        <v>0</v>
      </c>
      <c r="AC38" s="14">
        <v>96</v>
      </c>
      <c r="AD38" s="29">
        <v>96</v>
      </c>
      <c r="AE38" s="33" t="s">
        <v>58</v>
      </c>
      <c r="AF38" s="29">
        <v>0</v>
      </c>
      <c r="AG38" s="23">
        <v>0</v>
      </c>
      <c r="AH38" s="29">
        <f>IF(ISNUMBER(Tabella2[[#This Row],[Mean RADIAL stress  (MPa)]]), Tabella2[[#This Row],[Mean RADIAL stress  (MPa)]],"")</f>
        <v>0</v>
      </c>
      <c r="AI38" s="29">
        <f>IF(ISNUMBER(Tabella2[[#This Row],[Amplitute RADIAL stress  (MPa)]]), Tabella2[[#This Row],[Amplitute RADIAL stress  (MPa)]],"")</f>
        <v>0</v>
      </c>
      <c r="AJ38" s="29">
        <f>IF(ISNUMBER(Tabella2[[#This Row],[Mean AXIAL stress  (MPa)]]), IF(Tabella2[[#This Row],[derived from (AXIAL/BENDING) load]]="AXIAL",Tabella2[[#This Row],[Mean AXIAL stress  (MPa)]]*Tabella2[[#This Row],[Area (mm^2)]],"Null"), "")</f>
        <v>2304</v>
      </c>
      <c r="AK38" s="29">
        <f>IF(ISNUMBER(Tabella2[[#This Row],[Amplitute AXIAL stress  (MPa)]]),    IF(Tabella2[[#This Row],[derived from (AXIAL/BENDING) load]]="AXIAL",Tabella2[[#This Row],[Amplitute AXIAL stress  (MPa)]]*Tabella2[[#This Row],[Area (mm^2)]],"Null"), "")</f>
        <v>2304</v>
      </c>
      <c r="AL38" s="29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Row],[Bending moment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Row],[Bending moment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Row],[Bending moment of inertia (mm^4)]]/(Tabella2[[#This Row],[B (mm)]]*0.5),"Null"))),"")</f>
        <v>Null</v>
      </c>
      <c r="AM38" s="29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Row],[Bending moment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Row],[Bending moment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Row],[Bending moment of inertia (mm^4)]]/(Tabella2[[#This Row],[B (mm)]]*0.5),"Null"))), "")</f>
        <v>Null</v>
      </c>
      <c r="AN38" s="29" t="str">
        <f>IF(ISNUMBER(Tabella2[[#This Row],[Mean SHEAR stress  (MPa)]]),  IF(AND(ISNUMBER(Tabella2[[#This Row],[Mean SHEAR stress  (MPa)]]), ISNUMBER(Tabella2[[#This Row],[Torsional moment of inertia (mm^4)]]), ISNUMBER(Tabella2[[#This Row],[Diameter (mm)]])), Tabella2[[#This Row],[Mean SHEAR stress  (MPa)]]*Tabella2[[#This Row],[Torsional moment of inertia (mm^4)]]/(0.5*Tabella2[[#This Row],[Diameter (mm)]]),"Null"), " ")</f>
        <v>Null</v>
      </c>
      <c r="AO38" s="23" t="str">
        <f>IF(ISNUMBER(Tabella2[[#This Row],[Amplitute SHEAR stress  (MPa)]]), IF(AND(ISNUMBER(Tabella2[[#This Row],[Amplitute SHEAR stress  (MPa)]]), ISNUMBER(Tabella2[[#This Row],[Torsional moment of inertia (mm^4)]]), ISNUMBER(Tabella2[[#This Row],[Diameter (mm)]])),Tabella2[[#This Row],[Amplitute SHEAR stress  (MPa)]]*Tabella2[[#This Row],[Torsional moment of inertia (mm^4)]]/(0.5*Tabella2[[#This Row],[Diameter (mm)]]),"Null"), "")</f>
        <v>Null</v>
      </c>
      <c r="AP38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38" s="4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96</v>
      </c>
    </row>
    <row r="39" spans="1:43" customFormat="1" ht="20" customHeight="1" x14ac:dyDescent="0.2">
      <c r="A39" s="1" t="s">
        <v>94</v>
      </c>
      <c r="B39" s="1">
        <v>2024</v>
      </c>
      <c r="C39" s="1" t="s">
        <v>97</v>
      </c>
      <c r="D39" s="1" t="s">
        <v>109</v>
      </c>
      <c r="E39" s="28">
        <v>516299</v>
      </c>
      <c r="F39" s="1" t="s">
        <v>20</v>
      </c>
      <c r="G39" s="21" t="s">
        <v>99</v>
      </c>
      <c r="H39" s="1" t="e" vm="5">
        <v>#VALUE!</v>
      </c>
      <c r="I39" s="1" t="s">
        <v>158</v>
      </c>
      <c r="J39" s="1" t="s">
        <v>32</v>
      </c>
      <c r="K39" s="1">
        <v>6</v>
      </c>
      <c r="L39" s="1">
        <v>4</v>
      </c>
      <c r="M39" s="1" t="s">
        <v>21</v>
      </c>
      <c r="N39" s="1" t="s">
        <v>21</v>
      </c>
      <c r="O39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24</v>
      </c>
      <c r="P39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32</v>
      </c>
      <c r="Q39" s="24" t="str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Cannot be calculated</v>
      </c>
      <c r="R39" s="1">
        <v>0</v>
      </c>
      <c r="S39" s="1">
        <v>0</v>
      </c>
      <c r="T39" s="1">
        <v>0</v>
      </c>
      <c r="U39" s="28">
        <v>8</v>
      </c>
      <c r="V39" s="28">
        <v>8</v>
      </c>
      <c r="W39" s="28">
        <v>8</v>
      </c>
      <c r="X39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39" s="1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</v>
      </c>
      <c r="Z39" s="1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39" s="49">
        <v>0</v>
      </c>
      <c r="AB39" s="29">
        <v>0</v>
      </c>
      <c r="AC39" s="14">
        <v>94</v>
      </c>
      <c r="AD39" s="29">
        <v>94</v>
      </c>
      <c r="AE39" s="33" t="s">
        <v>58</v>
      </c>
      <c r="AF39" s="29">
        <v>0</v>
      </c>
      <c r="AG39" s="23">
        <v>0</v>
      </c>
      <c r="AH39" s="29">
        <f>IF(ISNUMBER(Tabella2[[#This Row],[Mean RADIAL stress  (MPa)]]), Tabella2[[#This Row],[Mean RADIAL stress  (MPa)]],"")</f>
        <v>0</v>
      </c>
      <c r="AI39" s="29">
        <f>IF(ISNUMBER(Tabella2[[#This Row],[Amplitute RADIAL stress  (MPa)]]), Tabella2[[#This Row],[Amplitute RADIAL stress  (MPa)]],"")</f>
        <v>0</v>
      </c>
      <c r="AJ39" s="29">
        <f>IF(ISNUMBER(Tabella2[[#This Row],[Mean AXIAL stress  (MPa)]]), IF(Tabella2[[#This Row],[derived from (AXIAL/BENDING) load]]="AXIAL",Tabella2[[#This Row],[Mean AXIAL stress  (MPa)]]*Tabella2[[#This Row],[Area (mm^2)]],"Null"), "")</f>
        <v>2256</v>
      </c>
      <c r="AK39" s="29">
        <f>IF(ISNUMBER(Tabella2[[#This Row],[Amplitute AXIAL stress  (MPa)]]),    IF(Tabella2[[#This Row],[derived from (AXIAL/BENDING) load]]="AXIAL",Tabella2[[#This Row],[Amplitute AXIAL stress  (MPa)]]*Tabella2[[#This Row],[Area (mm^2)]],"Null"), "")</f>
        <v>2256</v>
      </c>
      <c r="AL39" s="29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Row],[Bending moment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Row],[Bending moment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Row],[Bending moment of inertia (mm^4)]]/(Tabella2[[#This Row],[B (mm)]]*0.5),"Null"))),"")</f>
        <v>Null</v>
      </c>
      <c r="AM39" s="29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Row],[Bending moment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Row],[Bending moment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Row],[Bending moment of inertia (mm^4)]]/(Tabella2[[#This Row],[B (mm)]]*0.5),"Null"))), "")</f>
        <v>Null</v>
      </c>
      <c r="AN39" s="29" t="str">
        <f>IF(ISNUMBER(Tabella2[[#This Row],[Mean SHEAR stress  (MPa)]]),  IF(AND(ISNUMBER(Tabella2[[#This Row],[Mean SHEAR stress  (MPa)]]), ISNUMBER(Tabella2[[#This Row],[Torsional moment of inertia (mm^4)]]), ISNUMBER(Tabella2[[#This Row],[Diameter (mm)]])), Tabella2[[#This Row],[Mean SHEAR stress  (MPa)]]*Tabella2[[#This Row],[Torsional moment of inertia (mm^4)]]/(0.5*Tabella2[[#This Row],[Diameter (mm)]]),"Null"), " ")</f>
        <v>Null</v>
      </c>
      <c r="AO39" s="23" t="str">
        <f>IF(ISNUMBER(Tabella2[[#This Row],[Amplitute SHEAR stress  (MPa)]]), IF(AND(ISNUMBER(Tabella2[[#This Row],[Amplitute SHEAR stress  (MPa)]]), ISNUMBER(Tabella2[[#This Row],[Torsional moment of inertia (mm^4)]]), ISNUMBER(Tabella2[[#This Row],[Diameter (mm)]])),Tabella2[[#This Row],[Amplitute SHEAR stress  (MPa)]]*Tabella2[[#This Row],[Torsional moment of inertia (mm^4)]]/(0.5*Tabella2[[#This Row],[Diameter (mm)]]),"Null"), "")</f>
        <v>Null</v>
      </c>
      <c r="AP39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39" s="4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94</v>
      </c>
    </row>
    <row r="40" spans="1:43" customFormat="1" ht="20" customHeight="1" x14ac:dyDescent="0.2">
      <c r="A40" s="1" t="s">
        <v>94</v>
      </c>
      <c r="B40" s="1">
        <v>2024</v>
      </c>
      <c r="C40" s="1" t="s">
        <v>97</v>
      </c>
      <c r="D40" s="1" t="s">
        <v>110</v>
      </c>
      <c r="E40" s="28">
        <v>603574</v>
      </c>
      <c r="F40" s="1" t="s">
        <v>20</v>
      </c>
      <c r="G40" s="21" t="s">
        <v>99</v>
      </c>
      <c r="H40" s="1" t="e" vm="5">
        <v>#VALUE!</v>
      </c>
      <c r="I40" s="1" t="s">
        <v>158</v>
      </c>
      <c r="J40" s="1" t="s">
        <v>32</v>
      </c>
      <c r="K40" s="1">
        <v>6</v>
      </c>
      <c r="L40" s="1">
        <v>4</v>
      </c>
      <c r="M40" s="1" t="s">
        <v>21</v>
      </c>
      <c r="N40" s="1" t="s">
        <v>21</v>
      </c>
      <c r="O40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24</v>
      </c>
      <c r="P40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32</v>
      </c>
      <c r="Q40" s="24" t="str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Cannot be calculated</v>
      </c>
      <c r="R40" s="1">
        <v>0</v>
      </c>
      <c r="S40" s="1">
        <v>0</v>
      </c>
      <c r="T40" s="1">
        <v>0</v>
      </c>
      <c r="U40" s="28">
        <v>8</v>
      </c>
      <c r="V40" s="28">
        <v>8</v>
      </c>
      <c r="W40" s="28">
        <v>8</v>
      </c>
      <c r="X40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40" s="1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</v>
      </c>
      <c r="Z40" s="1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40" s="49">
        <v>0</v>
      </c>
      <c r="AB40" s="29">
        <v>0</v>
      </c>
      <c r="AC40" s="14">
        <v>90</v>
      </c>
      <c r="AD40" s="29">
        <v>90</v>
      </c>
      <c r="AE40" s="33" t="s">
        <v>58</v>
      </c>
      <c r="AF40" s="29">
        <v>0</v>
      </c>
      <c r="AG40" s="23">
        <v>0</v>
      </c>
      <c r="AH40" s="29">
        <f>IF(ISNUMBER(Tabella2[[#This Row],[Mean RADIAL stress  (MPa)]]), Tabella2[[#This Row],[Mean RADIAL stress  (MPa)]],"")</f>
        <v>0</v>
      </c>
      <c r="AI40" s="29">
        <f>IF(ISNUMBER(Tabella2[[#This Row],[Amplitute RADIAL stress  (MPa)]]), Tabella2[[#This Row],[Amplitute RADIAL stress  (MPa)]],"")</f>
        <v>0</v>
      </c>
      <c r="AJ40" s="29">
        <f>IF(ISNUMBER(Tabella2[[#This Row],[Mean AXIAL stress  (MPa)]]), IF(Tabella2[[#This Row],[derived from (AXIAL/BENDING) load]]="AXIAL",Tabella2[[#This Row],[Mean AXIAL stress  (MPa)]]*Tabella2[[#This Row],[Area (mm^2)]],"Null"), "")</f>
        <v>2160</v>
      </c>
      <c r="AK40" s="29">
        <f>IF(ISNUMBER(Tabella2[[#This Row],[Amplitute AXIAL stress  (MPa)]]),    IF(Tabella2[[#This Row],[derived from (AXIAL/BENDING) load]]="AXIAL",Tabella2[[#This Row],[Amplitute AXIAL stress  (MPa)]]*Tabella2[[#This Row],[Area (mm^2)]],"Null"), "")</f>
        <v>2160</v>
      </c>
      <c r="AL40" s="29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Row],[Bending moment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Row],[Bending moment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Row],[Bending moment of inertia (mm^4)]]/(Tabella2[[#This Row],[B (mm)]]*0.5),"Null"))),"")</f>
        <v>Null</v>
      </c>
      <c r="AM40" s="29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Row],[Bending moment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Row],[Bending moment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Row],[Bending moment of inertia (mm^4)]]/(Tabella2[[#This Row],[B (mm)]]*0.5),"Null"))), "")</f>
        <v>Null</v>
      </c>
      <c r="AN40" s="29" t="str">
        <f>IF(ISNUMBER(Tabella2[[#This Row],[Mean SHEAR stress  (MPa)]]),  IF(AND(ISNUMBER(Tabella2[[#This Row],[Mean SHEAR stress  (MPa)]]), ISNUMBER(Tabella2[[#This Row],[Torsional moment of inertia (mm^4)]]), ISNUMBER(Tabella2[[#This Row],[Diameter (mm)]])), Tabella2[[#This Row],[Mean SHEAR stress  (MPa)]]*Tabella2[[#This Row],[Torsional moment of inertia (mm^4)]]/(0.5*Tabella2[[#This Row],[Diameter (mm)]]),"Null"), " ")</f>
        <v>Null</v>
      </c>
      <c r="AO40" s="23" t="str">
        <f>IF(ISNUMBER(Tabella2[[#This Row],[Amplitute SHEAR stress  (MPa)]]), IF(AND(ISNUMBER(Tabella2[[#This Row],[Amplitute SHEAR stress  (MPa)]]), ISNUMBER(Tabella2[[#This Row],[Torsional moment of inertia (mm^4)]]), ISNUMBER(Tabella2[[#This Row],[Diameter (mm)]])),Tabella2[[#This Row],[Amplitute SHEAR stress  (MPa)]]*Tabella2[[#This Row],[Torsional moment of inertia (mm^4)]]/(0.5*Tabella2[[#This Row],[Diameter (mm)]]),"Null"), "")</f>
        <v>Null</v>
      </c>
      <c r="AP40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40" s="4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90</v>
      </c>
    </row>
    <row r="41" spans="1:43" customFormat="1" ht="20" customHeight="1" x14ac:dyDescent="0.2">
      <c r="A41" s="1" t="s">
        <v>94</v>
      </c>
      <c r="B41" s="1">
        <v>2024</v>
      </c>
      <c r="C41" s="1" t="s">
        <v>97</v>
      </c>
      <c r="D41" s="1" t="s">
        <v>111</v>
      </c>
      <c r="E41" s="28">
        <v>754651</v>
      </c>
      <c r="F41" s="1" t="s">
        <v>20</v>
      </c>
      <c r="G41" s="21" t="s">
        <v>99</v>
      </c>
      <c r="H41" s="1" t="e" vm="5">
        <v>#VALUE!</v>
      </c>
      <c r="I41" s="1" t="s">
        <v>158</v>
      </c>
      <c r="J41" s="1" t="s">
        <v>32</v>
      </c>
      <c r="K41" s="1">
        <v>6</v>
      </c>
      <c r="L41" s="1">
        <v>4</v>
      </c>
      <c r="M41" s="1" t="s">
        <v>21</v>
      </c>
      <c r="N41" s="1" t="s">
        <v>21</v>
      </c>
      <c r="O41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24</v>
      </c>
      <c r="P41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32</v>
      </c>
      <c r="Q41" s="24" t="str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Cannot be calculated</v>
      </c>
      <c r="R41" s="1">
        <v>0</v>
      </c>
      <c r="S41" s="1">
        <v>0</v>
      </c>
      <c r="T41" s="1">
        <v>0</v>
      </c>
      <c r="U41" s="28">
        <v>8</v>
      </c>
      <c r="V41" s="28">
        <v>8</v>
      </c>
      <c r="W41" s="28">
        <v>8</v>
      </c>
      <c r="X41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41" s="1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</v>
      </c>
      <c r="Z41" s="1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41" s="49">
        <v>0</v>
      </c>
      <c r="AB41" s="29">
        <v>0</v>
      </c>
      <c r="AC41" s="14">
        <v>100</v>
      </c>
      <c r="AD41" s="29">
        <v>100</v>
      </c>
      <c r="AE41" s="33" t="s">
        <v>58</v>
      </c>
      <c r="AF41" s="29">
        <v>0</v>
      </c>
      <c r="AG41" s="23">
        <v>0</v>
      </c>
      <c r="AH41" s="29">
        <f>IF(ISNUMBER(Tabella2[[#This Row],[Mean RADIAL stress  (MPa)]]), Tabella2[[#This Row],[Mean RADIAL stress  (MPa)]],"")</f>
        <v>0</v>
      </c>
      <c r="AI41" s="29">
        <f>IF(ISNUMBER(Tabella2[[#This Row],[Amplitute RADIAL stress  (MPa)]]), Tabella2[[#This Row],[Amplitute RADIAL stress  (MPa)]],"")</f>
        <v>0</v>
      </c>
      <c r="AJ41" s="29">
        <f>IF(ISNUMBER(Tabella2[[#This Row],[Mean AXIAL stress  (MPa)]]), IF(Tabella2[[#This Row],[derived from (AXIAL/BENDING) load]]="AXIAL",Tabella2[[#This Row],[Mean AXIAL stress  (MPa)]]*Tabella2[[#This Row],[Area (mm^2)]],"Null"), "")</f>
        <v>2400</v>
      </c>
      <c r="AK41" s="29">
        <f>IF(ISNUMBER(Tabella2[[#This Row],[Amplitute AXIAL stress  (MPa)]]),    IF(Tabella2[[#This Row],[derived from (AXIAL/BENDING) load]]="AXIAL",Tabella2[[#This Row],[Amplitute AXIAL stress  (MPa)]]*Tabella2[[#This Row],[Area (mm^2)]],"Null"), "")</f>
        <v>2400</v>
      </c>
      <c r="AL41" s="29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Row],[Bending moment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Row],[Bending moment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Row],[Bending moment of inertia (mm^4)]]/(Tabella2[[#This Row],[B (mm)]]*0.5),"Null"))),"")</f>
        <v>Null</v>
      </c>
      <c r="AM41" s="29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Row],[Bending moment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Row],[Bending moment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Row],[Bending moment of inertia (mm^4)]]/(Tabella2[[#This Row],[B (mm)]]*0.5),"Null"))), "")</f>
        <v>Null</v>
      </c>
      <c r="AN41" s="29" t="str">
        <f>IF(ISNUMBER(Tabella2[[#This Row],[Mean SHEAR stress  (MPa)]]),  IF(AND(ISNUMBER(Tabella2[[#This Row],[Mean SHEAR stress  (MPa)]]), ISNUMBER(Tabella2[[#This Row],[Torsional moment of inertia (mm^4)]]), ISNUMBER(Tabella2[[#This Row],[Diameter (mm)]])), Tabella2[[#This Row],[Mean SHEAR stress  (MPa)]]*Tabella2[[#This Row],[Torsional moment of inertia (mm^4)]]/(0.5*Tabella2[[#This Row],[Diameter (mm)]]),"Null"), " ")</f>
        <v>Null</v>
      </c>
      <c r="AO41" s="23" t="str">
        <f>IF(ISNUMBER(Tabella2[[#This Row],[Amplitute SHEAR stress  (MPa)]]), IF(AND(ISNUMBER(Tabella2[[#This Row],[Amplitute SHEAR stress  (MPa)]]), ISNUMBER(Tabella2[[#This Row],[Torsional moment of inertia (mm^4)]]), ISNUMBER(Tabella2[[#This Row],[Diameter (mm)]])),Tabella2[[#This Row],[Amplitute SHEAR stress  (MPa)]]*Tabella2[[#This Row],[Torsional moment of inertia (mm^4)]]/(0.5*Tabella2[[#This Row],[Diameter (mm)]]),"Null"), "")</f>
        <v>Null</v>
      </c>
      <c r="AP41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41" s="4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100</v>
      </c>
    </row>
    <row r="42" spans="1:43" customFormat="1" ht="20" customHeight="1" x14ac:dyDescent="0.2">
      <c r="A42" s="1" t="s">
        <v>94</v>
      </c>
      <c r="B42" s="1">
        <v>2024</v>
      </c>
      <c r="C42" s="1" t="s">
        <v>97</v>
      </c>
      <c r="D42" s="1" t="s">
        <v>112</v>
      </c>
      <c r="E42" s="28">
        <v>1031849</v>
      </c>
      <c r="F42" s="1" t="s">
        <v>20</v>
      </c>
      <c r="G42" s="21" t="s">
        <v>99</v>
      </c>
      <c r="H42" s="1" t="e" vm="5">
        <v>#VALUE!</v>
      </c>
      <c r="I42" s="1" t="s">
        <v>158</v>
      </c>
      <c r="J42" s="1" t="s">
        <v>32</v>
      </c>
      <c r="K42" s="1">
        <v>6</v>
      </c>
      <c r="L42" s="1">
        <v>4</v>
      </c>
      <c r="M42" s="1" t="s">
        <v>21</v>
      </c>
      <c r="N42" s="1" t="s">
        <v>21</v>
      </c>
      <c r="O42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24</v>
      </c>
      <c r="P42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32</v>
      </c>
      <c r="Q42" s="24" t="str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Cannot be calculated</v>
      </c>
      <c r="R42" s="1">
        <v>0</v>
      </c>
      <c r="S42" s="1">
        <v>0</v>
      </c>
      <c r="T42" s="1">
        <v>0</v>
      </c>
      <c r="U42" s="28">
        <v>8</v>
      </c>
      <c r="V42" s="28">
        <v>8</v>
      </c>
      <c r="W42" s="28">
        <v>8</v>
      </c>
      <c r="X42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42" s="1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</v>
      </c>
      <c r="Z42" s="1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42" s="49">
        <v>0</v>
      </c>
      <c r="AB42" s="29">
        <v>0</v>
      </c>
      <c r="AC42" s="14">
        <v>103</v>
      </c>
      <c r="AD42" s="29">
        <v>103</v>
      </c>
      <c r="AE42" s="33" t="s">
        <v>58</v>
      </c>
      <c r="AF42" s="29">
        <v>0</v>
      </c>
      <c r="AG42" s="23">
        <v>0</v>
      </c>
      <c r="AH42" s="29">
        <f>IF(ISNUMBER(Tabella2[[#This Row],[Mean RADIAL stress  (MPa)]]), Tabella2[[#This Row],[Mean RADIAL stress  (MPa)]],"")</f>
        <v>0</v>
      </c>
      <c r="AI42" s="29">
        <f>IF(ISNUMBER(Tabella2[[#This Row],[Amplitute RADIAL stress  (MPa)]]), Tabella2[[#This Row],[Amplitute RADIAL stress  (MPa)]],"")</f>
        <v>0</v>
      </c>
      <c r="AJ42" s="29">
        <f>IF(ISNUMBER(Tabella2[[#This Row],[Mean AXIAL stress  (MPa)]]), IF(Tabella2[[#This Row],[derived from (AXIAL/BENDING) load]]="AXIAL",Tabella2[[#This Row],[Mean AXIAL stress  (MPa)]]*Tabella2[[#This Row],[Area (mm^2)]],"Null"), "")</f>
        <v>2472</v>
      </c>
      <c r="AK42" s="29">
        <f>IF(ISNUMBER(Tabella2[[#This Row],[Amplitute AXIAL stress  (MPa)]]),    IF(Tabella2[[#This Row],[derived from (AXIAL/BENDING) load]]="AXIAL",Tabella2[[#This Row],[Amplitute AXIAL stress  (MPa)]]*Tabella2[[#This Row],[Area (mm^2)]],"Null"), "")</f>
        <v>2472</v>
      </c>
      <c r="AL42" s="29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Row],[Bending moment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Row],[Bending moment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Row],[Bending moment of inertia (mm^4)]]/(Tabella2[[#This Row],[B (mm)]]*0.5),"Null"))),"")</f>
        <v>Null</v>
      </c>
      <c r="AM42" s="29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Row],[Bending moment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Row],[Bending moment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Row],[Bending moment of inertia (mm^4)]]/(Tabella2[[#This Row],[B (mm)]]*0.5),"Null"))), "")</f>
        <v>Null</v>
      </c>
      <c r="AN42" s="29" t="str">
        <f>IF(ISNUMBER(Tabella2[[#This Row],[Mean SHEAR stress  (MPa)]]),  IF(AND(ISNUMBER(Tabella2[[#This Row],[Mean SHEAR stress  (MPa)]]), ISNUMBER(Tabella2[[#This Row],[Torsional moment of inertia (mm^4)]]), ISNUMBER(Tabella2[[#This Row],[Diameter (mm)]])), Tabella2[[#This Row],[Mean SHEAR stress  (MPa)]]*Tabella2[[#This Row],[Torsional moment of inertia (mm^4)]]/(0.5*Tabella2[[#This Row],[Diameter (mm)]]),"Null"), " ")</f>
        <v>Null</v>
      </c>
      <c r="AO42" s="23" t="str">
        <f>IF(ISNUMBER(Tabella2[[#This Row],[Amplitute SHEAR stress  (MPa)]]), IF(AND(ISNUMBER(Tabella2[[#This Row],[Amplitute SHEAR stress  (MPa)]]), ISNUMBER(Tabella2[[#This Row],[Torsional moment of inertia (mm^4)]]), ISNUMBER(Tabella2[[#This Row],[Diameter (mm)]])),Tabella2[[#This Row],[Amplitute SHEAR stress  (MPa)]]*Tabella2[[#This Row],[Torsional moment of inertia (mm^4)]]/(0.5*Tabella2[[#This Row],[Diameter (mm)]]),"Null"), "")</f>
        <v>Null</v>
      </c>
      <c r="AP42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42" s="4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103</v>
      </c>
    </row>
    <row r="43" spans="1:43" customFormat="1" ht="20" customHeight="1" x14ac:dyDescent="0.2">
      <c r="A43" s="1" t="s">
        <v>94</v>
      </c>
      <c r="B43" s="1">
        <v>2024</v>
      </c>
      <c r="C43" s="1" t="s">
        <v>97</v>
      </c>
      <c r="D43" s="1" t="s">
        <v>113</v>
      </c>
      <c r="E43" s="28">
        <v>2063734</v>
      </c>
      <c r="F43" s="1" t="s">
        <v>32</v>
      </c>
      <c r="G43" s="21" t="s">
        <v>99</v>
      </c>
      <c r="H43" s="1" t="e" vm="5">
        <v>#VALUE!</v>
      </c>
      <c r="I43" s="1" t="s">
        <v>158</v>
      </c>
      <c r="J43" s="1" t="s">
        <v>32</v>
      </c>
      <c r="K43" s="1">
        <v>6</v>
      </c>
      <c r="L43" s="1">
        <v>4</v>
      </c>
      <c r="M43" s="1" t="s">
        <v>21</v>
      </c>
      <c r="N43" s="1" t="s">
        <v>21</v>
      </c>
      <c r="O43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24</v>
      </c>
      <c r="P43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32</v>
      </c>
      <c r="Q43" s="24" t="str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Cannot be calculated</v>
      </c>
      <c r="R43" s="1">
        <v>0</v>
      </c>
      <c r="S43" s="1">
        <v>0</v>
      </c>
      <c r="T43" s="1">
        <v>0</v>
      </c>
      <c r="U43" s="28">
        <v>8</v>
      </c>
      <c r="V43" s="28">
        <v>8</v>
      </c>
      <c r="W43" s="28">
        <v>8</v>
      </c>
      <c r="X43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43" s="1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</v>
      </c>
      <c r="Z43" s="1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43" s="49">
        <v>0</v>
      </c>
      <c r="AB43" s="29">
        <v>0</v>
      </c>
      <c r="AC43" s="14">
        <v>91.5</v>
      </c>
      <c r="AD43" s="29">
        <v>91.5</v>
      </c>
      <c r="AE43" s="33" t="s">
        <v>58</v>
      </c>
      <c r="AF43" s="29">
        <v>0</v>
      </c>
      <c r="AG43" s="23">
        <v>0</v>
      </c>
      <c r="AH43" s="29">
        <f>IF(ISNUMBER(Tabella2[[#This Row],[Mean RADIAL stress  (MPa)]]), Tabella2[[#This Row],[Mean RADIAL stress  (MPa)]],"")</f>
        <v>0</v>
      </c>
      <c r="AI43" s="29">
        <f>IF(ISNUMBER(Tabella2[[#This Row],[Amplitute RADIAL stress  (MPa)]]), Tabella2[[#This Row],[Amplitute RADIAL stress  (MPa)]],"")</f>
        <v>0</v>
      </c>
      <c r="AJ43" s="29">
        <f>IF(ISNUMBER(Tabella2[[#This Row],[Mean AXIAL stress  (MPa)]]), IF(Tabella2[[#This Row],[derived from (AXIAL/BENDING) load]]="AXIAL",Tabella2[[#This Row],[Mean AXIAL stress  (MPa)]]*Tabella2[[#This Row],[Area (mm^2)]],"Null"), "")</f>
        <v>2196</v>
      </c>
      <c r="AK43" s="29">
        <f>IF(ISNUMBER(Tabella2[[#This Row],[Amplitute AXIAL stress  (MPa)]]),    IF(Tabella2[[#This Row],[derived from (AXIAL/BENDING) load]]="AXIAL",Tabella2[[#This Row],[Amplitute AXIAL stress  (MPa)]]*Tabella2[[#This Row],[Area (mm^2)]],"Null"), "")</f>
        <v>2196</v>
      </c>
      <c r="AL43" s="29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Row],[Bending moment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Row],[Bending moment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Row],[Bending moment of inertia (mm^4)]]/(Tabella2[[#This Row],[B (mm)]]*0.5),"Null"))),"")</f>
        <v>Null</v>
      </c>
      <c r="AM43" s="29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Row],[Bending moment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Row],[Bending moment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Row],[Bending moment of inertia (mm^4)]]/(Tabella2[[#This Row],[B (mm)]]*0.5),"Null"))), "")</f>
        <v>Null</v>
      </c>
      <c r="AN43" s="29" t="str">
        <f>IF(ISNUMBER(Tabella2[[#This Row],[Mean SHEAR stress  (MPa)]]),  IF(AND(ISNUMBER(Tabella2[[#This Row],[Mean SHEAR stress  (MPa)]]), ISNUMBER(Tabella2[[#This Row],[Torsional moment of inertia (mm^4)]]), ISNUMBER(Tabella2[[#This Row],[Diameter (mm)]])), Tabella2[[#This Row],[Mean SHEAR stress  (MPa)]]*Tabella2[[#This Row],[Torsional moment of inertia (mm^4)]]/(0.5*Tabella2[[#This Row],[Diameter (mm)]]),"Null"), " ")</f>
        <v>Null</v>
      </c>
      <c r="AO43" s="23" t="str">
        <f>IF(ISNUMBER(Tabella2[[#This Row],[Amplitute SHEAR stress  (MPa)]]), IF(AND(ISNUMBER(Tabella2[[#This Row],[Amplitute SHEAR stress  (MPa)]]), ISNUMBER(Tabella2[[#This Row],[Torsional moment of inertia (mm^4)]]), ISNUMBER(Tabella2[[#This Row],[Diameter (mm)]])),Tabella2[[#This Row],[Amplitute SHEAR stress  (MPa)]]*Tabella2[[#This Row],[Torsional moment of inertia (mm^4)]]/(0.5*Tabella2[[#This Row],[Diameter (mm)]]),"Null"), "")</f>
        <v>Null</v>
      </c>
      <c r="AP43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43" s="4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91.5</v>
      </c>
    </row>
    <row r="44" spans="1:43" customFormat="1" ht="20" customHeight="1" x14ac:dyDescent="0.2">
      <c r="A44" s="1" t="s">
        <v>94</v>
      </c>
      <c r="B44" s="1">
        <v>2024</v>
      </c>
      <c r="C44" s="1" t="s">
        <v>97</v>
      </c>
      <c r="D44" s="1" t="s">
        <v>114</v>
      </c>
      <c r="E44" s="28">
        <v>2591273</v>
      </c>
      <c r="F44" s="1" t="s">
        <v>32</v>
      </c>
      <c r="G44" s="21" t="s">
        <v>99</v>
      </c>
      <c r="H44" s="1" t="e" vm="5">
        <v>#VALUE!</v>
      </c>
      <c r="I44" s="1" t="s">
        <v>158</v>
      </c>
      <c r="J44" s="1" t="s">
        <v>32</v>
      </c>
      <c r="K44" s="1">
        <v>6</v>
      </c>
      <c r="L44" s="1">
        <v>4</v>
      </c>
      <c r="M44" s="1" t="s">
        <v>21</v>
      </c>
      <c r="N44" s="1" t="s">
        <v>21</v>
      </c>
      <c r="O44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24</v>
      </c>
      <c r="P44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32</v>
      </c>
      <c r="Q44" s="24" t="str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Cannot be calculated</v>
      </c>
      <c r="R44" s="1">
        <v>0</v>
      </c>
      <c r="S44" s="1">
        <v>0</v>
      </c>
      <c r="T44" s="1">
        <v>0</v>
      </c>
      <c r="U44" s="28">
        <v>8</v>
      </c>
      <c r="V44" s="28">
        <v>8</v>
      </c>
      <c r="W44" s="28">
        <v>8</v>
      </c>
      <c r="X44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44" s="1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</v>
      </c>
      <c r="Z44" s="1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44" s="49">
        <v>0</v>
      </c>
      <c r="AB44" s="29">
        <v>0</v>
      </c>
      <c r="AC44" s="14">
        <v>91.5</v>
      </c>
      <c r="AD44" s="29">
        <v>91.5</v>
      </c>
      <c r="AE44" s="33" t="s">
        <v>58</v>
      </c>
      <c r="AF44" s="29">
        <v>0</v>
      </c>
      <c r="AG44" s="23">
        <v>0</v>
      </c>
      <c r="AH44" s="29">
        <f>IF(ISNUMBER(Tabella2[[#This Row],[Mean RADIAL stress  (MPa)]]), Tabella2[[#This Row],[Mean RADIAL stress  (MPa)]],"")</f>
        <v>0</v>
      </c>
      <c r="AI44" s="29">
        <f>IF(ISNUMBER(Tabella2[[#This Row],[Amplitute RADIAL stress  (MPa)]]), Tabella2[[#This Row],[Amplitute RADIAL stress  (MPa)]],"")</f>
        <v>0</v>
      </c>
      <c r="AJ44" s="29">
        <f>IF(ISNUMBER(Tabella2[[#This Row],[Mean AXIAL stress  (MPa)]]), IF(Tabella2[[#This Row],[derived from (AXIAL/BENDING) load]]="AXIAL",Tabella2[[#This Row],[Mean AXIAL stress  (MPa)]]*Tabella2[[#This Row],[Area (mm^2)]],"Null"), "")</f>
        <v>2196</v>
      </c>
      <c r="AK44" s="29">
        <f>IF(ISNUMBER(Tabella2[[#This Row],[Amplitute AXIAL stress  (MPa)]]),    IF(Tabella2[[#This Row],[derived from (AXIAL/BENDING) load]]="AXIAL",Tabella2[[#This Row],[Amplitute AXIAL stress  (MPa)]]*Tabella2[[#This Row],[Area (mm^2)]],"Null"), "")</f>
        <v>2196</v>
      </c>
      <c r="AL44" s="29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Row],[Bending moment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Row],[Bending moment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Row],[Bending moment of inertia (mm^4)]]/(Tabella2[[#This Row],[B (mm)]]*0.5),"Null"))),"")</f>
        <v>Null</v>
      </c>
      <c r="AM44" s="29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Row],[Bending moment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Row],[Bending moment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Row],[Bending moment of inertia (mm^4)]]/(Tabella2[[#This Row],[B (mm)]]*0.5),"Null"))), "")</f>
        <v>Null</v>
      </c>
      <c r="AN44" s="29" t="str">
        <f>IF(ISNUMBER(Tabella2[[#This Row],[Mean SHEAR stress  (MPa)]]),  IF(AND(ISNUMBER(Tabella2[[#This Row],[Mean SHEAR stress  (MPa)]]), ISNUMBER(Tabella2[[#This Row],[Torsional moment of inertia (mm^4)]]), ISNUMBER(Tabella2[[#This Row],[Diameter (mm)]])), Tabella2[[#This Row],[Mean SHEAR stress  (MPa)]]*Tabella2[[#This Row],[Torsional moment of inertia (mm^4)]]/(0.5*Tabella2[[#This Row],[Diameter (mm)]]),"Null"), " ")</f>
        <v>Null</v>
      </c>
      <c r="AO44" s="23" t="str">
        <f>IF(ISNUMBER(Tabella2[[#This Row],[Amplitute SHEAR stress  (MPa)]]), IF(AND(ISNUMBER(Tabella2[[#This Row],[Amplitute SHEAR stress  (MPa)]]), ISNUMBER(Tabella2[[#This Row],[Torsional moment of inertia (mm^4)]]), ISNUMBER(Tabella2[[#This Row],[Diameter (mm)]])),Tabella2[[#This Row],[Amplitute SHEAR stress  (MPa)]]*Tabella2[[#This Row],[Torsional moment of inertia (mm^4)]]/(0.5*Tabella2[[#This Row],[Diameter (mm)]]),"Null"), "")</f>
        <v>Null</v>
      </c>
      <c r="AP44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44" s="4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91.5</v>
      </c>
    </row>
    <row r="45" spans="1:43" customFormat="1" ht="20" customHeight="1" x14ac:dyDescent="0.2">
      <c r="A45" s="1" t="s">
        <v>94</v>
      </c>
      <c r="B45" s="1">
        <v>2024</v>
      </c>
      <c r="C45" s="1" t="s">
        <v>97</v>
      </c>
      <c r="D45" s="1" t="s">
        <v>115</v>
      </c>
      <c r="E45" s="28">
        <v>2673283</v>
      </c>
      <c r="F45" s="1" t="s">
        <v>32</v>
      </c>
      <c r="G45" s="21" t="s">
        <v>99</v>
      </c>
      <c r="H45" s="1" t="e" vm="5">
        <v>#VALUE!</v>
      </c>
      <c r="I45" s="1" t="s">
        <v>158</v>
      </c>
      <c r="J45" s="1" t="s">
        <v>32</v>
      </c>
      <c r="K45" s="1">
        <v>6</v>
      </c>
      <c r="L45" s="1">
        <v>4</v>
      </c>
      <c r="M45" s="1" t="s">
        <v>21</v>
      </c>
      <c r="N45" s="1" t="s">
        <v>21</v>
      </c>
      <c r="O45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24</v>
      </c>
      <c r="P45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32</v>
      </c>
      <c r="Q45" s="24" t="str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Cannot be calculated</v>
      </c>
      <c r="R45" s="1">
        <v>0</v>
      </c>
      <c r="S45" s="1">
        <v>0</v>
      </c>
      <c r="T45" s="1">
        <v>0</v>
      </c>
      <c r="U45" s="28">
        <v>8</v>
      </c>
      <c r="V45" s="28">
        <v>8</v>
      </c>
      <c r="W45" s="28">
        <v>8</v>
      </c>
      <c r="X45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45" s="1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</v>
      </c>
      <c r="Z45" s="1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45" s="49">
        <v>0</v>
      </c>
      <c r="AB45" s="29">
        <v>0</v>
      </c>
      <c r="AC45" s="14">
        <v>95</v>
      </c>
      <c r="AD45" s="29">
        <v>95</v>
      </c>
      <c r="AE45" s="33" t="s">
        <v>58</v>
      </c>
      <c r="AF45" s="29">
        <v>0</v>
      </c>
      <c r="AG45" s="23">
        <v>0</v>
      </c>
      <c r="AH45" s="29">
        <f>IF(ISNUMBER(Tabella2[[#This Row],[Mean RADIAL stress  (MPa)]]), Tabella2[[#This Row],[Mean RADIAL stress  (MPa)]],"")</f>
        <v>0</v>
      </c>
      <c r="AI45" s="29">
        <f>IF(ISNUMBER(Tabella2[[#This Row],[Amplitute RADIAL stress  (MPa)]]), Tabella2[[#This Row],[Amplitute RADIAL stress  (MPa)]],"")</f>
        <v>0</v>
      </c>
      <c r="AJ45" s="29">
        <f>IF(ISNUMBER(Tabella2[[#This Row],[Mean AXIAL stress  (MPa)]]), IF(Tabella2[[#This Row],[derived from (AXIAL/BENDING) load]]="AXIAL",Tabella2[[#This Row],[Mean AXIAL stress  (MPa)]]*Tabella2[[#This Row],[Area (mm^2)]],"Null"), "")</f>
        <v>2280</v>
      </c>
      <c r="AK45" s="29">
        <f>IF(ISNUMBER(Tabella2[[#This Row],[Amplitute AXIAL stress  (MPa)]]),    IF(Tabella2[[#This Row],[derived from (AXIAL/BENDING) load]]="AXIAL",Tabella2[[#This Row],[Amplitute AXIAL stress  (MPa)]]*Tabella2[[#This Row],[Area (mm^2)]],"Null"), "")</f>
        <v>2280</v>
      </c>
      <c r="AL45" s="29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Row],[Bending moment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Row],[Bending moment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Row],[Bending moment of inertia (mm^4)]]/(Tabella2[[#This Row],[B (mm)]]*0.5),"Null"))),"")</f>
        <v>Null</v>
      </c>
      <c r="AM45" s="29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Row],[Bending moment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Row],[Bending moment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Row],[Bending moment of inertia (mm^4)]]/(Tabella2[[#This Row],[B (mm)]]*0.5),"Null"))), "")</f>
        <v>Null</v>
      </c>
      <c r="AN45" s="29" t="str">
        <f>IF(ISNUMBER(Tabella2[[#This Row],[Mean SHEAR stress  (MPa)]]),  IF(AND(ISNUMBER(Tabella2[[#This Row],[Mean SHEAR stress  (MPa)]]), ISNUMBER(Tabella2[[#This Row],[Torsional moment of inertia (mm^4)]]), ISNUMBER(Tabella2[[#This Row],[Diameter (mm)]])), Tabella2[[#This Row],[Mean SHEAR stress  (MPa)]]*Tabella2[[#This Row],[Torsional moment of inertia (mm^4)]]/(0.5*Tabella2[[#This Row],[Diameter (mm)]]),"Null"), " ")</f>
        <v>Null</v>
      </c>
      <c r="AO45" s="23" t="str">
        <f>IF(ISNUMBER(Tabella2[[#This Row],[Amplitute SHEAR stress  (MPa)]]), IF(AND(ISNUMBER(Tabella2[[#This Row],[Amplitute SHEAR stress  (MPa)]]), ISNUMBER(Tabella2[[#This Row],[Torsional moment of inertia (mm^4)]]), ISNUMBER(Tabella2[[#This Row],[Diameter (mm)]])),Tabella2[[#This Row],[Amplitute SHEAR stress  (MPa)]]*Tabella2[[#This Row],[Torsional moment of inertia (mm^4)]]/(0.5*Tabella2[[#This Row],[Diameter (mm)]]),"Null"), "")</f>
        <v>Null</v>
      </c>
      <c r="AP45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45" s="4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95</v>
      </c>
    </row>
    <row r="46" spans="1:43" customFormat="1" ht="20" customHeight="1" x14ac:dyDescent="0.2">
      <c r="A46" s="1" t="s">
        <v>94</v>
      </c>
      <c r="B46" s="1">
        <v>2024</v>
      </c>
      <c r="C46" s="1" t="s">
        <v>97</v>
      </c>
      <c r="D46" s="1" t="s">
        <v>116</v>
      </c>
      <c r="E46" s="28">
        <v>2700129</v>
      </c>
      <c r="F46" s="1" t="s">
        <v>32</v>
      </c>
      <c r="G46" s="21" t="s">
        <v>99</v>
      </c>
      <c r="H46" s="1" t="e" vm="5">
        <v>#VALUE!</v>
      </c>
      <c r="I46" s="1" t="s">
        <v>158</v>
      </c>
      <c r="J46" s="1" t="s">
        <v>32</v>
      </c>
      <c r="K46" s="1">
        <v>6</v>
      </c>
      <c r="L46" s="1">
        <v>4</v>
      </c>
      <c r="M46" s="1" t="s">
        <v>21</v>
      </c>
      <c r="N46" s="1" t="s">
        <v>21</v>
      </c>
      <c r="O46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24</v>
      </c>
      <c r="P46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32</v>
      </c>
      <c r="Q46" s="24" t="str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Cannot be calculated</v>
      </c>
      <c r="R46" s="1">
        <v>0</v>
      </c>
      <c r="S46" s="1">
        <v>0</v>
      </c>
      <c r="T46" s="1">
        <v>0</v>
      </c>
      <c r="U46" s="28">
        <v>8</v>
      </c>
      <c r="V46" s="28">
        <v>8</v>
      </c>
      <c r="W46" s="28">
        <v>8</v>
      </c>
      <c r="X46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46" s="1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</v>
      </c>
      <c r="Z46" s="1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46" s="49">
        <v>0</v>
      </c>
      <c r="AB46" s="29">
        <v>0</v>
      </c>
      <c r="AC46" s="14">
        <v>85</v>
      </c>
      <c r="AD46" s="29">
        <v>85</v>
      </c>
      <c r="AE46" s="33" t="s">
        <v>58</v>
      </c>
      <c r="AF46" s="29">
        <v>0</v>
      </c>
      <c r="AG46" s="23">
        <v>0</v>
      </c>
      <c r="AH46" s="29">
        <f>IF(ISNUMBER(Tabella2[[#This Row],[Mean RADIAL stress  (MPa)]]), Tabella2[[#This Row],[Mean RADIAL stress  (MPa)]],"")</f>
        <v>0</v>
      </c>
      <c r="AI46" s="29">
        <f>IF(ISNUMBER(Tabella2[[#This Row],[Amplitute RADIAL stress  (MPa)]]), Tabella2[[#This Row],[Amplitute RADIAL stress  (MPa)]],"")</f>
        <v>0</v>
      </c>
      <c r="AJ46" s="29">
        <f>IF(ISNUMBER(Tabella2[[#This Row],[Mean AXIAL stress  (MPa)]]), IF(Tabella2[[#This Row],[derived from (AXIAL/BENDING) load]]="AXIAL",Tabella2[[#This Row],[Mean AXIAL stress  (MPa)]]*Tabella2[[#This Row],[Area (mm^2)]],"Null"), "")</f>
        <v>2040</v>
      </c>
      <c r="AK46" s="29">
        <f>IF(ISNUMBER(Tabella2[[#This Row],[Amplitute AXIAL stress  (MPa)]]),    IF(Tabella2[[#This Row],[derived from (AXIAL/BENDING) load]]="AXIAL",Tabella2[[#This Row],[Amplitute AXIAL stress  (MPa)]]*Tabella2[[#This Row],[Area (mm^2)]],"Null"), "")</f>
        <v>2040</v>
      </c>
      <c r="AL46" s="29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Row],[Bending moment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Row],[Bending moment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Row],[Bending moment of inertia (mm^4)]]/(Tabella2[[#This Row],[B (mm)]]*0.5),"Null"))),"")</f>
        <v>Null</v>
      </c>
      <c r="AM46" s="29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Row],[Bending moment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Row],[Bending moment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Row],[Bending moment of inertia (mm^4)]]/(Tabella2[[#This Row],[B (mm)]]*0.5),"Null"))), "")</f>
        <v>Null</v>
      </c>
      <c r="AN46" s="29" t="str">
        <f>IF(ISNUMBER(Tabella2[[#This Row],[Mean SHEAR stress  (MPa)]]),  IF(AND(ISNUMBER(Tabella2[[#This Row],[Mean SHEAR stress  (MPa)]]), ISNUMBER(Tabella2[[#This Row],[Torsional moment of inertia (mm^4)]]), ISNUMBER(Tabella2[[#This Row],[Diameter (mm)]])), Tabella2[[#This Row],[Mean SHEAR stress  (MPa)]]*Tabella2[[#This Row],[Torsional moment of inertia (mm^4)]]/(0.5*Tabella2[[#This Row],[Diameter (mm)]]),"Null"), " ")</f>
        <v>Null</v>
      </c>
      <c r="AO46" s="23" t="str">
        <f>IF(ISNUMBER(Tabella2[[#This Row],[Amplitute SHEAR stress  (MPa)]]), IF(AND(ISNUMBER(Tabella2[[#This Row],[Amplitute SHEAR stress  (MPa)]]), ISNUMBER(Tabella2[[#This Row],[Torsional moment of inertia (mm^4)]]), ISNUMBER(Tabella2[[#This Row],[Diameter (mm)]])),Tabella2[[#This Row],[Amplitute SHEAR stress  (MPa)]]*Tabella2[[#This Row],[Torsional moment of inertia (mm^4)]]/(0.5*Tabella2[[#This Row],[Diameter (mm)]]),"Null"), "")</f>
        <v>Null</v>
      </c>
      <c r="AP46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46" s="4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85</v>
      </c>
    </row>
    <row r="47" spans="1:43" customFormat="1" ht="20" customHeight="1" x14ac:dyDescent="0.2">
      <c r="A47" s="1" t="s">
        <v>94</v>
      </c>
      <c r="B47" s="1">
        <v>2024</v>
      </c>
      <c r="C47" s="1" t="s">
        <v>97</v>
      </c>
      <c r="D47" s="1" t="s">
        <v>117</v>
      </c>
      <c r="E47" s="28">
        <v>2770129</v>
      </c>
      <c r="F47" s="1" t="s">
        <v>32</v>
      </c>
      <c r="G47" s="21" t="s">
        <v>99</v>
      </c>
      <c r="H47" s="1" t="e" vm="5">
        <v>#VALUE!</v>
      </c>
      <c r="I47" s="1" t="s">
        <v>158</v>
      </c>
      <c r="J47" s="1" t="s">
        <v>32</v>
      </c>
      <c r="K47" s="1">
        <v>6</v>
      </c>
      <c r="L47" s="1">
        <v>4</v>
      </c>
      <c r="M47" s="1" t="s">
        <v>21</v>
      </c>
      <c r="N47" s="1" t="s">
        <v>21</v>
      </c>
      <c r="O47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24</v>
      </c>
      <c r="P47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32</v>
      </c>
      <c r="Q47" s="24" t="str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Cannot be calculated</v>
      </c>
      <c r="R47" s="1">
        <v>0</v>
      </c>
      <c r="S47" s="1">
        <v>0</v>
      </c>
      <c r="T47" s="1">
        <v>0</v>
      </c>
      <c r="U47" s="28">
        <v>8</v>
      </c>
      <c r="V47" s="28">
        <v>8</v>
      </c>
      <c r="W47" s="28">
        <v>8</v>
      </c>
      <c r="X47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47" s="1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</v>
      </c>
      <c r="Z47" s="1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47" s="49">
        <v>0</v>
      </c>
      <c r="AB47" s="29">
        <v>0</v>
      </c>
      <c r="AC47" s="14">
        <v>90</v>
      </c>
      <c r="AD47" s="29">
        <v>90</v>
      </c>
      <c r="AE47" s="33" t="s">
        <v>58</v>
      </c>
      <c r="AF47" s="29">
        <v>0</v>
      </c>
      <c r="AG47" s="23">
        <v>0</v>
      </c>
      <c r="AH47" s="29">
        <f>IF(ISNUMBER(Tabella2[[#This Row],[Mean RADIAL stress  (MPa)]]), Tabella2[[#This Row],[Mean RADIAL stress  (MPa)]],"")</f>
        <v>0</v>
      </c>
      <c r="AI47" s="29">
        <f>IF(ISNUMBER(Tabella2[[#This Row],[Amplitute RADIAL stress  (MPa)]]), Tabella2[[#This Row],[Amplitute RADIAL stress  (MPa)]],"")</f>
        <v>0</v>
      </c>
      <c r="AJ47" s="29">
        <f>IF(ISNUMBER(Tabella2[[#This Row],[Mean AXIAL stress  (MPa)]]), IF(Tabella2[[#This Row],[derived from (AXIAL/BENDING) load]]="AXIAL",Tabella2[[#This Row],[Mean AXIAL stress  (MPa)]]*Tabella2[[#This Row],[Area (mm^2)]],"Null"), "")</f>
        <v>2160</v>
      </c>
      <c r="AK47" s="29">
        <f>IF(ISNUMBER(Tabella2[[#This Row],[Amplitute AXIAL stress  (MPa)]]),    IF(Tabella2[[#This Row],[derived from (AXIAL/BENDING) load]]="AXIAL",Tabella2[[#This Row],[Amplitute AXIAL stress  (MPa)]]*Tabella2[[#This Row],[Area (mm^2)]],"Null"), "")</f>
        <v>2160</v>
      </c>
      <c r="AL47" s="29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Row],[Bending moment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Row],[Bending moment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Row],[Bending moment of inertia (mm^4)]]/(Tabella2[[#This Row],[B (mm)]]*0.5),"Null"))),"")</f>
        <v>Null</v>
      </c>
      <c r="AM47" s="29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Row],[Bending moment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Row],[Bending moment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Row],[Bending moment of inertia (mm^4)]]/(Tabella2[[#This Row],[B (mm)]]*0.5),"Null"))), "")</f>
        <v>Null</v>
      </c>
      <c r="AN47" s="29" t="str">
        <f>IF(ISNUMBER(Tabella2[[#This Row],[Mean SHEAR stress  (MPa)]]),  IF(AND(ISNUMBER(Tabella2[[#This Row],[Mean SHEAR stress  (MPa)]]), ISNUMBER(Tabella2[[#This Row],[Torsional moment of inertia (mm^4)]]), ISNUMBER(Tabella2[[#This Row],[Diameter (mm)]])), Tabella2[[#This Row],[Mean SHEAR stress  (MPa)]]*Tabella2[[#This Row],[Torsional moment of inertia (mm^4)]]/(0.5*Tabella2[[#This Row],[Diameter (mm)]]),"Null"), " ")</f>
        <v>Null</v>
      </c>
      <c r="AO47" s="23" t="str">
        <f>IF(ISNUMBER(Tabella2[[#This Row],[Amplitute SHEAR stress  (MPa)]]), IF(AND(ISNUMBER(Tabella2[[#This Row],[Amplitute SHEAR stress  (MPa)]]), ISNUMBER(Tabella2[[#This Row],[Torsional moment of inertia (mm^4)]]), ISNUMBER(Tabella2[[#This Row],[Diameter (mm)]])),Tabella2[[#This Row],[Amplitute SHEAR stress  (MPa)]]*Tabella2[[#This Row],[Torsional moment of inertia (mm^4)]]/(0.5*Tabella2[[#This Row],[Diameter (mm)]]),"Null"), "")</f>
        <v>Null</v>
      </c>
      <c r="AP47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47" s="4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90</v>
      </c>
    </row>
    <row r="48" spans="1:43" customFormat="1" ht="20" customHeight="1" x14ac:dyDescent="0.2">
      <c r="A48" s="1" t="s">
        <v>94</v>
      </c>
      <c r="B48" s="1">
        <v>2024</v>
      </c>
      <c r="C48" s="1" t="s">
        <v>97</v>
      </c>
      <c r="D48" s="1" t="s">
        <v>118</v>
      </c>
      <c r="E48" s="28">
        <v>10000000</v>
      </c>
      <c r="F48" s="1" t="s">
        <v>32</v>
      </c>
      <c r="G48" s="21" t="s">
        <v>99</v>
      </c>
      <c r="H48" s="1" t="e" vm="5">
        <v>#VALUE!</v>
      </c>
      <c r="I48" s="1" t="s">
        <v>158</v>
      </c>
      <c r="J48" s="1" t="s">
        <v>32</v>
      </c>
      <c r="K48" s="1">
        <v>6</v>
      </c>
      <c r="L48" s="1">
        <v>4</v>
      </c>
      <c r="M48" s="1" t="s">
        <v>21</v>
      </c>
      <c r="N48" s="1" t="s">
        <v>21</v>
      </c>
      <c r="O48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24</v>
      </c>
      <c r="P48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32</v>
      </c>
      <c r="Q48" s="24" t="str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Cannot be calculated</v>
      </c>
      <c r="R48" s="1">
        <v>0</v>
      </c>
      <c r="S48" s="1">
        <v>0</v>
      </c>
      <c r="T48" s="1">
        <v>0</v>
      </c>
      <c r="U48" s="28">
        <v>8</v>
      </c>
      <c r="V48" s="28">
        <v>8</v>
      </c>
      <c r="W48" s="28">
        <v>8</v>
      </c>
      <c r="X48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48" s="1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</v>
      </c>
      <c r="Z48" s="1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48" s="49">
        <v>0</v>
      </c>
      <c r="AB48" s="29">
        <v>0</v>
      </c>
      <c r="AC48" s="14">
        <v>96</v>
      </c>
      <c r="AD48" s="29">
        <v>96</v>
      </c>
      <c r="AE48" s="33" t="s">
        <v>58</v>
      </c>
      <c r="AF48" s="29">
        <v>0</v>
      </c>
      <c r="AG48" s="23">
        <v>0</v>
      </c>
      <c r="AH48" s="29">
        <f>IF(ISNUMBER(Tabella2[[#This Row],[Mean RADIAL stress  (MPa)]]), Tabella2[[#This Row],[Mean RADIAL stress  (MPa)]],"")</f>
        <v>0</v>
      </c>
      <c r="AI48" s="29">
        <f>IF(ISNUMBER(Tabella2[[#This Row],[Amplitute RADIAL stress  (MPa)]]), Tabella2[[#This Row],[Amplitute RADIAL stress  (MPa)]],"")</f>
        <v>0</v>
      </c>
      <c r="AJ48" s="29">
        <f>IF(ISNUMBER(Tabella2[[#This Row],[Mean AXIAL stress  (MPa)]]), IF(Tabella2[[#This Row],[derived from (AXIAL/BENDING) load]]="AXIAL",Tabella2[[#This Row],[Mean AXIAL stress  (MPa)]]*Tabella2[[#This Row],[Area (mm^2)]],"Null"), "")</f>
        <v>2304</v>
      </c>
      <c r="AK48" s="29">
        <f>IF(ISNUMBER(Tabella2[[#This Row],[Amplitute AXIAL stress  (MPa)]]),    IF(Tabella2[[#This Row],[derived from (AXIAL/BENDING) load]]="AXIAL",Tabella2[[#This Row],[Amplitute AXIAL stress  (MPa)]]*Tabella2[[#This Row],[Area (mm^2)]],"Null"), "")</f>
        <v>2304</v>
      </c>
      <c r="AL48" s="29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Row],[Bending moment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Row],[Bending moment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Row],[Bending moment of inertia (mm^4)]]/(Tabella2[[#This Row],[B (mm)]]*0.5),"Null"))),"")</f>
        <v>Null</v>
      </c>
      <c r="AM48" s="29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Row],[Bending moment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Row],[Bending moment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Row],[Bending moment of inertia (mm^4)]]/(Tabella2[[#This Row],[B (mm)]]*0.5),"Null"))), "")</f>
        <v>Null</v>
      </c>
      <c r="AN48" s="29" t="str">
        <f>IF(ISNUMBER(Tabella2[[#This Row],[Mean SHEAR stress  (MPa)]]),  IF(AND(ISNUMBER(Tabella2[[#This Row],[Mean SHEAR stress  (MPa)]]), ISNUMBER(Tabella2[[#This Row],[Torsional moment of inertia (mm^4)]]), ISNUMBER(Tabella2[[#This Row],[Diameter (mm)]])), Tabella2[[#This Row],[Mean SHEAR stress  (MPa)]]*Tabella2[[#This Row],[Torsional moment of inertia (mm^4)]]/(0.5*Tabella2[[#This Row],[Diameter (mm)]]),"Null"), " ")</f>
        <v>Null</v>
      </c>
      <c r="AO48" s="23" t="str">
        <f>IF(ISNUMBER(Tabella2[[#This Row],[Amplitute SHEAR stress  (MPa)]]), IF(AND(ISNUMBER(Tabella2[[#This Row],[Amplitute SHEAR stress  (MPa)]]), ISNUMBER(Tabella2[[#This Row],[Torsional moment of inertia (mm^4)]]), ISNUMBER(Tabella2[[#This Row],[Diameter (mm)]])),Tabella2[[#This Row],[Amplitute SHEAR stress  (MPa)]]*Tabella2[[#This Row],[Torsional moment of inertia (mm^4)]]/(0.5*Tabella2[[#This Row],[Diameter (mm)]]),"Null"), "")</f>
        <v>Null</v>
      </c>
      <c r="AP48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48" s="4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96</v>
      </c>
    </row>
    <row r="49" spans="1:43" customFormat="1" ht="20" customHeight="1" x14ac:dyDescent="0.2">
      <c r="A49" s="1" t="s">
        <v>94</v>
      </c>
      <c r="B49" s="1">
        <v>2024</v>
      </c>
      <c r="C49" s="1" t="s">
        <v>97</v>
      </c>
      <c r="D49" s="1" t="s">
        <v>119</v>
      </c>
      <c r="E49" s="28">
        <v>10000000</v>
      </c>
      <c r="F49" s="1" t="s">
        <v>32</v>
      </c>
      <c r="G49" s="21" t="s">
        <v>99</v>
      </c>
      <c r="H49" s="1" t="e" vm="5">
        <v>#VALUE!</v>
      </c>
      <c r="I49" s="1" t="s">
        <v>158</v>
      </c>
      <c r="J49" s="1" t="s">
        <v>32</v>
      </c>
      <c r="K49" s="1">
        <v>6</v>
      </c>
      <c r="L49" s="1">
        <v>4</v>
      </c>
      <c r="M49" s="1" t="s">
        <v>21</v>
      </c>
      <c r="N49" s="1" t="s">
        <v>21</v>
      </c>
      <c r="O49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24</v>
      </c>
      <c r="P49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32</v>
      </c>
      <c r="Q49" s="24" t="str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Cannot be calculated</v>
      </c>
      <c r="R49" s="1">
        <v>0</v>
      </c>
      <c r="S49" s="1">
        <v>0</v>
      </c>
      <c r="T49" s="1">
        <v>0</v>
      </c>
      <c r="U49" s="28">
        <v>8</v>
      </c>
      <c r="V49" s="28">
        <v>8</v>
      </c>
      <c r="W49" s="28">
        <v>8</v>
      </c>
      <c r="X49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49" s="1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</v>
      </c>
      <c r="Z49" s="1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49" s="49">
        <v>0</v>
      </c>
      <c r="AB49" s="29">
        <v>0</v>
      </c>
      <c r="AC49" s="14">
        <v>95</v>
      </c>
      <c r="AD49" s="29">
        <v>95</v>
      </c>
      <c r="AE49" s="33" t="s">
        <v>58</v>
      </c>
      <c r="AF49" s="29">
        <v>0</v>
      </c>
      <c r="AG49" s="23">
        <v>0</v>
      </c>
      <c r="AH49" s="29">
        <f>IF(ISNUMBER(Tabella2[[#This Row],[Mean RADIAL stress  (MPa)]]), Tabella2[[#This Row],[Mean RADIAL stress  (MPa)]],"")</f>
        <v>0</v>
      </c>
      <c r="AI49" s="29">
        <f>IF(ISNUMBER(Tabella2[[#This Row],[Amplitute RADIAL stress  (MPa)]]), Tabella2[[#This Row],[Amplitute RADIAL stress  (MPa)]],"")</f>
        <v>0</v>
      </c>
      <c r="AJ49" s="29">
        <f>IF(ISNUMBER(Tabella2[[#This Row],[Mean AXIAL stress  (MPa)]]), IF(Tabella2[[#This Row],[derived from (AXIAL/BENDING) load]]="AXIAL",Tabella2[[#This Row],[Mean AXIAL stress  (MPa)]]*Tabella2[[#This Row],[Area (mm^2)]],"Null"), "")</f>
        <v>2280</v>
      </c>
      <c r="AK49" s="29">
        <f>IF(ISNUMBER(Tabella2[[#This Row],[Amplitute AXIAL stress  (MPa)]]),    IF(Tabella2[[#This Row],[derived from (AXIAL/BENDING) load]]="AXIAL",Tabella2[[#This Row],[Amplitute AXIAL stress  (MPa)]]*Tabella2[[#This Row],[Area (mm^2)]],"Null"), "")</f>
        <v>2280</v>
      </c>
      <c r="AL49" s="29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Row],[Bending moment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Row],[Bending moment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Row],[Bending moment of inertia (mm^4)]]/(Tabella2[[#This Row],[B (mm)]]*0.5),"Null"))),"")</f>
        <v>Null</v>
      </c>
      <c r="AM49" s="29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Row],[Bending moment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Row],[Bending moment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Row],[Bending moment of inertia (mm^4)]]/(Tabella2[[#This Row],[B (mm)]]*0.5),"Null"))), "")</f>
        <v>Null</v>
      </c>
      <c r="AN49" s="29" t="str">
        <f>IF(ISNUMBER(Tabella2[[#This Row],[Mean SHEAR stress  (MPa)]]),  IF(AND(ISNUMBER(Tabella2[[#This Row],[Mean SHEAR stress  (MPa)]]), ISNUMBER(Tabella2[[#This Row],[Torsional moment of inertia (mm^4)]]), ISNUMBER(Tabella2[[#This Row],[Diameter (mm)]])), Tabella2[[#This Row],[Mean SHEAR stress  (MPa)]]*Tabella2[[#This Row],[Torsional moment of inertia (mm^4)]]/(0.5*Tabella2[[#This Row],[Diameter (mm)]]),"Null"), " ")</f>
        <v>Null</v>
      </c>
      <c r="AO49" s="23" t="str">
        <f>IF(ISNUMBER(Tabella2[[#This Row],[Amplitute SHEAR stress  (MPa)]]), IF(AND(ISNUMBER(Tabella2[[#This Row],[Amplitute SHEAR stress  (MPa)]]), ISNUMBER(Tabella2[[#This Row],[Torsional moment of inertia (mm^4)]]), ISNUMBER(Tabella2[[#This Row],[Diameter (mm)]])),Tabella2[[#This Row],[Amplitute SHEAR stress  (MPa)]]*Tabella2[[#This Row],[Torsional moment of inertia (mm^4)]]/(0.5*Tabella2[[#This Row],[Diameter (mm)]]),"Null"), "")</f>
        <v>Null</v>
      </c>
      <c r="AP49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49" s="4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95</v>
      </c>
    </row>
    <row r="50" spans="1:43" customFormat="1" ht="20" customHeight="1" x14ac:dyDescent="0.2">
      <c r="A50" s="1" t="s">
        <v>94</v>
      </c>
      <c r="B50" s="1">
        <v>2024</v>
      </c>
      <c r="C50" s="1" t="s">
        <v>97</v>
      </c>
      <c r="D50" s="1" t="s">
        <v>120</v>
      </c>
      <c r="E50" s="28">
        <v>10248220</v>
      </c>
      <c r="F50" s="1" t="s">
        <v>32</v>
      </c>
      <c r="G50" s="21" t="s">
        <v>99</v>
      </c>
      <c r="H50" s="1" t="e" vm="5">
        <v>#VALUE!</v>
      </c>
      <c r="I50" s="1" t="s">
        <v>158</v>
      </c>
      <c r="J50" s="1" t="s">
        <v>32</v>
      </c>
      <c r="K50" s="1">
        <v>6</v>
      </c>
      <c r="L50" s="1">
        <v>4</v>
      </c>
      <c r="M50" s="1" t="s">
        <v>21</v>
      </c>
      <c r="N50" s="1" t="s">
        <v>21</v>
      </c>
      <c r="O50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24</v>
      </c>
      <c r="P50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32</v>
      </c>
      <c r="Q50" s="24" t="str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Cannot be calculated</v>
      </c>
      <c r="R50" s="1">
        <v>0</v>
      </c>
      <c r="S50" s="1">
        <v>0</v>
      </c>
      <c r="T50" s="1">
        <v>0</v>
      </c>
      <c r="U50" s="28">
        <v>8</v>
      </c>
      <c r="V50" s="28">
        <v>8</v>
      </c>
      <c r="W50" s="28">
        <v>8</v>
      </c>
      <c r="X50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50" s="1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</v>
      </c>
      <c r="Z50" s="1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50" s="49">
        <v>0</v>
      </c>
      <c r="AB50" s="29">
        <v>0</v>
      </c>
      <c r="AC50" s="14">
        <v>90</v>
      </c>
      <c r="AD50" s="29">
        <v>90</v>
      </c>
      <c r="AE50" s="33" t="s">
        <v>58</v>
      </c>
      <c r="AF50" s="29">
        <v>0</v>
      </c>
      <c r="AG50" s="23">
        <v>0</v>
      </c>
      <c r="AH50" s="29">
        <f>IF(ISNUMBER(Tabella2[[#This Row],[Mean RADIAL stress  (MPa)]]), Tabella2[[#This Row],[Mean RADIAL stress  (MPa)]],"")</f>
        <v>0</v>
      </c>
      <c r="AI50" s="29">
        <f>IF(ISNUMBER(Tabella2[[#This Row],[Amplitute RADIAL stress  (MPa)]]), Tabella2[[#This Row],[Amplitute RADIAL stress  (MPa)]],"")</f>
        <v>0</v>
      </c>
      <c r="AJ50" s="29">
        <f>IF(ISNUMBER(Tabella2[[#This Row],[Mean AXIAL stress  (MPa)]]), IF(Tabella2[[#This Row],[derived from (AXIAL/BENDING) load]]="AXIAL",Tabella2[[#This Row],[Mean AXIAL stress  (MPa)]]*Tabella2[[#This Row],[Area (mm^2)]],"Null"), "")</f>
        <v>2160</v>
      </c>
      <c r="AK50" s="29">
        <f>IF(ISNUMBER(Tabella2[[#This Row],[Amplitute AXIAL stress  (MPa)]]),    IF(Tabella2[[#This Row],[derived from (AXIAL/BENDING) load]]="AXIAL",Tabella2[[#This Row],[Amplitute AXIAL stress  (MPa)]]*Tabella2[[#This Row],[Area (mm^2)]],"Null"), "")</f>
        <v>2160</v>
      </c>
      <c r="AL50" s="29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Row],[Bending moment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Row],[Bending moment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Row],[Bending moment of inertia (mm^4)]]/(Tabella2[[#This Row],[B (mm)]]*0.5),"Null"))),"")</f>
        <v>Null</v>
      </c>
      <c r="AM50" s="29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Row],[Bending moment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Row],[Bending moment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Row],[Bending moment of inertia (mm^4)]]/(Tabella2[[#This Row],[B (mm)]]*0.5),"Null"))), "")</f>
        <v>Null</v>
      </c>
      <c r="AN50" s="29" t="str">
        <f>IF(ISNUMBER(Tabella2[[#This Row],[Mean SHEAR stress  (MPa)]]),  IF(AND(ISNUMBER(Tabella2[[#This Row],[Mean SHEAR stress  (MPa)]]), ISNUMBER(Tabella2[[#This Row],[Torsional moment of inertia (mm^4)]]), ISNUMBER(Tabella2[[#This Row],[Diameter (mm)]])), Tabella2[[#This Row],[Mean SHEAR stress  (MPa)]]*Tabella2[[#This Row],[Torsional moment of inertia (mm^4)]]/(0.5*Tabella2[[#This Row],[Diameter (mm)]]),"Null"), " ")</f>
        <v>Null</v>
      </c>
      <c r="AO50" s="23" t="str">
        <f>IF(ISNUMBER(Tabella2[[#This Row],[Amplitute SHEAR stress  (MPa)]]), IF(AND(ISNUMBER(Tabella2[[#This Row],[Amplitute SHEAR stress  (MPa)]]), ISNUMBER(Tabella2[[#This Row],[Torsional moment of inertia (mm^4)]]), ISNUMBER(Tabella2[[#This Row],[Diameter (mm)]])),Tabella2[[#This Row],[Amplitute SHEAR stress  (MPa)]]*Tabella2[[#This Row],[Torsional moment of inertia (mm^4)]]/(0.5*Tabella2[[#This Row],[Diameter (mm)]]),"Null"), "")</f>
        <v>Null</v>
      </c>
      <c r="AP50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50" s="4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90</v>
      </c>
    </row>
    <row r="51" spans="1:43" customFormat="1" ht="20" customHeight="1" x14ac:dyDescent="0.2">
      <c r="A51" s="1" t="s">
        <v>94</v>
      </c>
      <c r="B51" s="1">
        <v>2024</v>
      </c>
      <c r="C51" s="1" t="s">
        <v>97</v>
      </c>
      <c r="D51" s="1" t="s">
        <v>121</v>
      </c>
      <c r="E51" s="28">
        <v>91731</v>
      </c>
      <c r="F51" s="1" t="s">
        <v>20</v>
      </c>
      <c r="G51" s="21" t="s">
        <v>99</v>
      </c>
      <c r="H51" s="1" t="e" vm="6">
        <v>#VALUE!</v>
      </c>
      <c r="I51" s="1" t="s">
        <v>158</v>
      </c>
      <c r="J51" s="1" t="s">
        <v>32</v>
      </c>
      <c r="K51" s="1">
        <v>6</v>
      </c>
      <c r="L51" s="1">
        <v>4</v>
      </c>
      <c r="M51" s="1" t="s">
        <v>21</v>
      </c>
      <c r="N51" s="1" t="s">
        <v>21</v>
      </c>
      <c r="O51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24</v>
      </c>
      <c r="P51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32</v>
      </c>
      <c r="Q51" s="24" t="str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Cannot be calculated</v>
      </c>
      <c r="R51" s="1">
        <v>0</v>
      </c>
      <c r="S51" s="1">
        <v>0</v>
      </c>
      <c r="T51" s="1">
        <v>0</v>
      </c>
      <c r="U51" s="28">
        <v>8</v>
      </c>
      <c r="V51" s="28">
        <v>8</v>
      </c>
      <c r="W51" s="28">
        <v>8</v>
      </c>
      <c r="X51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51" s="1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</v>
      </c>
      <c r="Z51" s="1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51" s="49">
        <v>0</v>
      </c>
      <c r="AB51" s="29">
        <v>0</v>
      </c>
      <c r="AC51" s="14">
        <v>158.5</v>
      </c>
      <c r="AD51" s="29">
        <v>158.5</v>
      </c>
      <c r="AE51" s="33" t="s">
        <v>58</v>
      </c>
      <c r="AF51" s="29">
        <v>0</v>
      </c>
      <c r="AG51" s="23">
        <v>0</v>
      </c>
      <c r="AH51" s="29">
        <f>IF(ISNUMBER(Tabella2[[#This Row],[Mean RADIAL stress  (MPa)]]), Tabella2[[#This Row],[Mean RADIAL stress  (MPa)]],"")</f>
        <v>0</v>
      </c>
      <c r="AI51" s="29">
        <f>IF(ISNUMBER(Tabella2[[#This Row],[Amplitute RADIAL stress  (MPa)]]), Tabella2[[#This Row],[Amplitute RADIAL stress  (MPa)]],"")</f>
        <v>0</v>
      </c>
      <c r="AJ51" s="29">
        <f>IF(ISNUMBER(Tabella2[[#This Row],[Mean AXIAL stress  (MPa)]]), IF(Tabella2[[#This Row],[derived from (AXIAL/BENDING) load]]="AXIAL",Tabella2[[#This Row],[Mean AXIAL stress  (MPa)]]*Tabella2[[#This Row],[Area (mm^2)]],"Null"), "")</f>
        <v>3804</v>
      </c>
      <c r="AK51" s="29">
        <f>IF(ISNUMBER(Tabella2[[#This Row],[Amplitute AXIAL stress  (MPa)]]),    IF(Tabella2[[#This Row],[derived from (AXIAL/BENDING) load]]="AXIAL",Tabella2[[#This Row],[Amplitute AXIAL stress  (MPa)]]*Tabella2[[#This Row],[Area (mm^2)]],"Null"), "")</f>
        <v>3804</v>
      </c>
      <c r="AL51" s="29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Row],[Bending moment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Row],[Bending moment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Row],[Bending moment of inertia (mm^4)]]/(Tabella2[[#This Row],[B (mm)]]*0.5),"Null"))),"")</f>
        <v>Null</v>
      </c>
      <c r="AM51" s="29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Row],[Bending moment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Row],[Bending moment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Row],[Bending moment of inertia (mm^4)]]/(Tabella2[[#This Row],[B (mm)]]*0.5),"Null"))), "")</f>
        <v>Null</v>
      </c>
      <c r="AN51" s="29" t="str">
        <f>IF(ISNUMBER(Tabella2[[#This Row],[Mean SHEAR stress  (MPa)]]),  IF(AND(ISNUMBER(Tabella2[[#This Row],[Mean SHEAR stress  (MPa)]]), ISNUMBER(Tabella2[[#This Row],[Torsional moment of inertia (mm^4)]]), ISNUMBER(Tabella2[[#This Row],[Diameter (mm)]])), Tabella2[[#This Row],[Mean SHEAR stress  (MPa)]]*Tabella2[[#This Row],[Torsional moment of inertia (mm^4)]]/(0.5*Tabella2[[#This Row],[Diameter (mm)]]),"Null"), " ")</f>
        <v>Null</v>
      </c>
      <c r="AO51" s="23" t="str">
        <f>IF(ISNUMBER(Tabella2[[#This Row],[Amplitute SHEAR stress  (MPa)]]), IF(AND(ISNUMBER(Tabella2[[#This Row],[Amplitute SHEAR stress  (MPa)]]), ISNUMBER(Tabella2[[#This Row],[Torsional moment of inertia (mm^4)]]), ISNUMBER(Tabella2[[#This Row],[Diameter (mm)]])),Tabella2[[#This Row],[Amplitute SHEAR stress  (MPa)]]*Tabella2[[#This Row],[Torsional moment of inertia (mm^4)]]/(0.5*Tabella2[[#This Row],[Diameter (mm)]]),"Null"), "")</f>
        <v>Null</v>
      </c>
      <c r="AP51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51" s="4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158.5</v>
      </c>
    </row>
    <row r="52" spans="1:43" customFormat="1" ht="20" customHeight="1" x14ac:dyDescent="0.2">
      <c r="A52" s="1" t="s">
        <v>94</v>
      </c>
      <c r="B52" s="1">
        <v>2024</v>
      </c>
      <c r="C52" s="1" t="s">
        <v>97</v>
      </c>
      <c r="D52" s="1" t="s">
        <v>122</v>
      </c>
      <c r="E52" s="28">
        <v>98171</v>
      </c>
      <c r="F52" s="1" t="s">
        <v>20</v>
      </c>
      <c r="G52" s="21" t="s">
        <v>99</v>
      </c>
      <c r="H52" s="1" t="e" vm="6">
        <v>#VALUE!</v>
      </c>
      <c r="I52" s="1" t="s">
        <v>158</v>
      </c>
      <c r="J52" s="1" t="s">
        <v>32</v>
      </c>
      <c r="K52" s="1">
        <v>6</v>
      </c>
      <c r="L52" s="1">
        <v>4</v>
      </c>
      <c r="M52" s="1" t="s">
        <v>21</v>
      </c>
      <c r="N52" s="1" t="s">
        <v>21</v>
      </c>
      <c r="O52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24</v>
      </c>
      <c r="P52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32</v>
      </c>
      <c r="Q52" s="24" t="str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Cannot be calculated</v>
      </c>
      <c r="R52" s="1">
        <v>0</v>
      </c>
      <c r="S52" s="1">
        <v>0</v>
      </c>
      <c r="T52" s="1">
        <v>0</v>
      </c>
      <c r="U52" s="28">
        <v>8</v>
      </c>
      <c r="V52" s="28">
        <v>8</v>
      </c>
      <c r="W52" s="28">
        <v>8</v>
      </c>
      <c r="X52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52" s="1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</v>
      </c>
      <c r="Z52" s="1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52" s="49">
        <v>0</v>
      </c>
      <c r="AB52" s="29">
        <v>0</v>
      </c>
      <c r="AC52" s="14">
        <v>158.5</v>
      </c>
      <c r="AD52" s="29">
        <v>158.5</v>
      </c>
      <c r="AE52" s="33" t="s">
        <v>58</v>
      </c>
      <c r="AF52" s="29">
        <v>0</v>
      </c>
      <c r="AG52" s="23">
        <v>0</v>
      </c>
      <c r="AH52" s="29">
        <f>IF(ISNUMBER(Tabella2[[#This Row],[Mean RADIAL stress  (MPa)]]), Tabella2[[#This Row],[Mean RADIAL stress  (MPa)]],"")</f>
        <v>0</v>
      </c>
      <c r="AI52" s="29">
        <f>IF(ISNUMBER(Tabella2[[#This Row],[Amplitute RADIAL stress  (MPa)]]), Tabella2[[#This Row],[Amplitute RADIAL stress  (MPa)]],"")</f>
        <v>0</v>
      </c>
      <c r="AJ52" s="29">
        <f>IF(ISNUMBER(Tabella2[[#This Row],[Mean AXIAL stress  (MPa)]]), IF(Tabella2[[#This Row],[derived from (AXIAL/BENDING) load]]="AXIAL",Tabella2[[#This Row],[Mean AXIAL stress  (MPa)]]*Tabella2[[#This Row],[Area (mm^2)]],"Null"), "")</f>
        <v>3804</v>
      </c>
      <c r="AK52" s="29">
        <f>IF(ISNUMBER(Tabella2[[#This Row],[Amplitute AXIAL stress  (MPa)]]),    IF(Tabella2[[#This Row],[derived from (AXIAL/BENDING) load]]="AXIAL",Tabella2[[#This Row],[Amplitute AXIAL stress  (MPa)]]*Tabella2[[#This Row],[Area (mm^2)]],"Null"), "")</f>
        <v>3804</v>
      </c>
      <c r="AL52" s="29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Row],[Bending moment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Row],[Bending moment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Row],[Bending moment of inertia (mm^4)]]/(Tabella2[[#This Row],[B (mm)]]*0.5),"Null"))),"")</f>
        <v>Null</v>
      </c>
      <c r="AM52" s="29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Row],[Bending moment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Row],[Bending moment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Row],[Bending moment of inertia (mm^4)]]/(Tabella2[[#This Row],[B (mm)]]*0.5),"Null"))), "")</f>
        <v>Null</v>
      </c>
      <c r="AN52" s="29" t="str">
        <f>IF(ISNUMBER(Tabella2[[#This Row],[Mean SHEAR stress  (MPa)]]),  IF(AND(ISNUMBER(Tabella2[[#This Row],[Mean SHEAR stress  (MPa)]]), ISNUMBER(Tabella2[[#This Row],[Torsional moment of inertia (mm^4)]]), ISNUMBER(Tabella2[[#This Row],[Diameter (mm)]])), Tabella2[[#This Row],[Mean SHEAR stress  (MPa)]]*Tabella2[[#This Row],[Torsional moment of inertia (mm^4)]]/(0.5*Tabella2[[#This Row],[Diameter (mm)]]),"Null"), " ")</f>
        <v>Null</v>
      </c>
      <c r="AO52" s="23" t="str">
        <f>IF(ISNUMBER(Tabella2[[#This Row],[Amplitute SHEAR stress  (MPa)]]), IF(AND(ISNUMBER(Tabella2[[#This Row],[Amplitute SHEAR stress  (MPa)]]), ISNUMBER(Tabella2[[#This Row],[Torsional moment of inertia (mm^4)]]), ISNUMBER(Tabella2[[#This Row],[Diameter (mm)]])),Tabella2[[#This Row],[Amplitute SHEAR stress  (MPa)]]*Tabella2[[#This Row],[Torsional moment of inertia (mm^4)]]/(0.5*Tabella2[[#This Row],[Diameter (mm)]]),"Null"), "")</f>
        <v>Null</v>
      </c>
      <c r="AP52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52" s="4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158.5</v>
      </c>
    </row>
    <row r="53" spans="1:43" customFormat="1" ht="20" customHeight="1" x14ac:dyDescent="0.2">
      <c r="A53" s="1" t="s">
        <v>94</v>
      </c>
      <c r="B53" s="1">
        <v>2024</v>
      </c>
      <c r="C53" s="1" t="s">
        <v>97</v>
      </c>
      <c r="D53" s="1" t="s">
        <v>123</v>
      </c>
      <c r="E53" s="28">
        <v>111717</v>
      </c>
      <c r="F53" s="1" t="s">
        <v>20</v>
      </c>
      <c r="G53" s="21" t="s">
        <v>99</v>
      </c>
      <c r="H53" s="1" t="e" vm="6">
        <v>#VALUE!</v>
      </c>
      <c r="I53" s="1" t="s">
        <v>158</v>
      </c>
      <c r="J53" s="1" t="s">
        <v>32</v>
      </c>
      <c r="K53" s="1">
        <v>6</v>
      </c>
      <c r="L53" s="1">
        <v>4</v>
      </c>
      <c r="M53" s="1" t="s">
        <v>21</v>
      </c>
      <c r="N53" s="1" t="s">
        <v>21</v>
      </c>
      <c r="O53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24</v>
      </c>
      <c r="P53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32</v>
      </c>
      <c r="Q53" s="24" t="str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Cannot be calculated</v>
      </c>
      <c r="R53" s="1">
        <v>0</v>
      </c>
      <c r="S53" s="1">
        <v>0</v>
      </c>
      <c r="T53" s="1">
        <v>0</v>
      </c>
      <c r="U53" s="28">
        <v>8</v>
      </c>
      <c r="V53" s="28">
        <v>8</v>
      </c>
      <c r="W53" s="28">
        <v>8</v>
      </c>
      <c r="X53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53" s="1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</v>
      </c>
      <c r="Z53" s="1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53" s="49">
        <v>0</v>
      </c>
      <c r="AB53" s="29">
        <v>0</v>
      </c>
      <c r="AC53" s="14">
        <v>150</v>
      </c>
      <c r="AD53" s="29">
        <v>150</v>
      </c>
      <c r="AE53" s="33" t="s">
        <v>58</v>
      </c>
      <c r="AF53" s="29">
        <v>0</v>
      </c>
      <c r="AG53" s="23">
        <v>0</v>
      </c>
      <c r="AH53" s="29">
        <f>IF(ISNUMBER(Tabella2[[#This Row],[Mean RADIAL stress  (MPa)]]), Tabella2[[#This Row],[Mean RADIAL stress  (MPa)]],"")</f>
        <v>0</v>
      </c>
      <c r="AI53" s="29">
        <f>IF(ISNUMBER(Tabella2[[#This Row],[Amplitute RADIAL stress  (MPa)]]), Tabella2[[#This Row],[Amplitute RADIAL stress  (MPa)]],"")</f>
        <v>0</v>
      </c>
      <c r="AJ53" s="29">
        <f>IF(ISNUMBER(Tabella2[[#This Row],[Mean AXIAL stress  (MPa)]]), IF(Tabella2[[#This Row],[derived from (AXIAL/BENDING) load]]="AXIAL",Tabella2[[#This Row],[Mean AXIAL stress  (MPa)]]*Tabella2[[#This Row],[Area (mm^2)]],"Null"), "")</f>
        <v>3600</v>
      </c>
      <c r="AK53" s="29">
        <f>IF(ISNUMBER(Tabella2[[#This Row],[Amplitute AXIAL stress  (MPa)]]),    IF(Tabella2[[#This Row],[derived from (AXIAL/BENDING) load]]="AXIAL",Tabella2[[#This Row],[Amplitute AXIAL stress  (MPa)]]*Tabella2[[#This Row],[Area (mm^2)]],"Null"), "")</f>
        <v>3600</v>
      </c>
      <c r="AL53" s="29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Row],[Bending moment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Row],[Bending moment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Row],[Bending moment of inertia (mm^4)]]/(Tabella2[[#This Row],[B (mm)]]*0.5),"Null"))),"")</f>
        <v>Null</v>
      </c>
      <c r="AM53" s="29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Row],[Bending moment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Row],[Bending moment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Row],[Bending moment of inertia (mm^4)]]/(Tabella2[[#This Row],[B (mm)]]*0.5),"Null"))), "")</f>
        <v>Null</v>
      </c>
      <c r="AN53" s="29" t="str">
        <f>IF(ISNUMBER(Tabella2[[#This Row],[Mean SHEAR stress  (MPa)]]),  IF(AND(ISNUMBER(Tabella2[[#This Row],[Mean SHEAR stress  (MPa)]]), ISNUMBER(Tabella2[[#This Row],[Torsional moment of inertia (mm^4)]]), ISNUMBER(Tabella2[[#This Row],[Diameter (mm)]])), Tabella2[[#This Row],[Mean SHEAR stress  (MPa)]]*Tabella2[[#This Row],[Torsional moment of inertia (mm^4)]]/(0.5*Tabella2[[#This Row],[Diameter (mm)]]),"Null"), " ")</f>
        <v>Null</v>
      </c>
      <c r="AO53" s="23" t="str">
        <f>IF(ISNUMBER(Tabella2[[#This Row],[Amplitute SHEAR stress  (MPa)]]), IF(AND(ISNUMBER(Tabella2[[#This Row],[Amplitute SHEAR stress  (MPa)]]), ISNUMBER(Tabella2[[#This Row],[Torsional moment of inertia (mm^4)]]), ISNUMBER(Tabella2[[#This Row],[Diameter (mm)]])),Tabella2[[#This Row],[Amplitute SHEAR stress  (MPa)]]*Tabella2[[#This Row],[Torsional moment of inertia (mm^4)]]/(0.5*Tabella2[[#This Row],[Diameter (mm)]]),"Null"), "")</f>
        <v>Null</v>
      </c>
      <c r="AP53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53" s="4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150</v>
      </c>
    </row>
    <row r="54" spans="1:43" customFormat="1" ht="20" customHeight="1" x14ac:dyDescent="0.2">
      <c r="A54" s="1" t="s">
        <v>94</v>
      </c>
      <c r="B54" s="1">
        <v>2024</v>
      </c>
      <c r="C54" s="1" t="s">
        <v>97</v>
      </c>
      <c r="D54" s="1" t="s">
        <v>124</v>
      </c>
      <c r="E54" s="28">
        <v>129814</v>
      </c>
      <c r="F54" s="1" t="s">
        <v>20</v>
      </c>
      <c r="G54" s="21" t="s">
        <v>99</v>
      </c>
      <c r="H54" s="1" t="e" vm="6">
        <v>#VALUE!</v>
      </c>
      <c r="I54" s="1" t="s">
        <v>158</v>
      </c>
      <c r="J54" s="1" t="s">
        <v>32</v>
      </c>
      <c r="K54" s="1">
        <v>6</v>
      </c>
      <c r="L54" s="1">
        <v>4</v>
      </c>
      <c r="M54" s="1" t="s">
        <v>21</v>
      </c>
      <c r="N54" s="1" t="s">
        <v>21</v>
      </c>
      <c r="O54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24</v>
      </c>
      <c r="P54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32</v>
      </c>
      <c r="Q54" s="24" t="str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Cannot be calculated</v>
      </c>
      <c r="R54" s="1">
        <v>0</v>
      </c>
      <c r="S54" s="1">
        <v>0</v>
      </c>
      <c r="T54" s="1">
        <v>0</v>
      </c>
      <c r="U54" s="28">
        <v>8</v>
      </c>
      <c r="V54" s="28">
        <v>8</v>
      </c>
      <c r="W54" s="28">
        <v>8</v>
      </c>
      <c r="X54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54" s="1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</v>
      </c>
      <c r="Z54" s="1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54" s="49">
        <v>0</v>
      </c>
      <c r="AB54" s="29">
        <v>0</v>
      </c>
      <c r="AC54" s="14">
        <v>153</v>
      </c>
      <c r="AD54" s="29">
        <v>153</v>
      </c>
      <c r="AE54" s="33" t="s">
        <v>58</v>
      </c>
      <c r="AF54" s="29">
        <v>0</v>
      </c>
      <c r="AG54" s="23">
        <v>0</v>
      </c>
      <c r="AH54" s="29">
        <f>IF(ISNUMBER(Tabella2[[#This Row],[Mean RADIAL stress  (MPa)]]), Tabella2[[#This Row],[Mean RADIAL stress  (MPa)]],"")</f>
        <v>0</v>
      </c>
      <c r="AI54" s="29">
        <f>IF(ISNUMBER(Tabella2[[#This Row],[Amplitute RADIAL stress  (MPa)]]), Tabella2[[#This Row],[Amplitute RADIAL stress  (MPa)]],"")</f>
        <v>0</v>
      </c>
      <c r="AJ54" s="29">
        <f>IF(ISNUMBER(Tabella2[[#This Row],[Mean AXIAL stress  (MPa)]]), IF(Tabella2[[#This Row],[derived from (AXIAL/BENDING) load]]="AXIAL",Tabella2[[#This Row],[Mean AXIAL stress  (MPa)]]*Tabella2[[#This Row],[Area (mm^2)]],"Null"), "")</f>
        <v>3672</v>
      </c>
      <c r="AK54" s="29">
        <f>IF(ISNUMBER(Tabella2[[#This Row],[Amplitute AXIAL stress  (MPa)]]),    IF(Tabella2[[#This Row],[derived from (AXIAL/BENDING) load]]="AXIAL",Tabella2[[#This Row],[Amplitute AXIAL stress  (MPa)]]*Tabella2[[#This Row],[Area (mm^2)]],"Null"), "")</f>
        <v>3672</v>
      </c>
      <c r="AL54" s="29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Row],[Bending moment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Row],[Bending moment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Row],[Bending moment of inertia (mm^4)]]/(Tabella2[[#This Row],[B (mm)]]*0.5),"Null"))),"")</f>
        <v>Null</v>
      </c>
      <c r="AM54" s="29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Row],[Bending moment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Row],[Bending moment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Row],[Bending moment of inertia (mm^4)]]/(Tabella2[[#This Row],[B (mm)]]*0.5),"Null"))), "")</f>
        <v>Null</v>
      </c>
      <c r="AN54" s="29" t="str">
        <f>IF(ISNUMBER(Tabella2[[#This Row],[Mean SHEAR stress  (MPa)]]),  IF(AND(ISNUMBER(Tabella2[[#This Row],[Mean SHEAR stress  (MPa)]]), ISNUMBER(Tabella2[[#This Row],[Torsional moment of inertia (mm^4)]]), ISNUMBER(Tabella2[[#This Row],[Diameter (mm)]])), Tabella2[[#This Row],[Mean SHEAR stress  (MPa)]]*Tabella2[[#This Row],[Torsional moment of inertia (mm^4)]]/(0.5*Tabella2[[#This Row],[Diameter (mm)]]),"Null"), " ")</f>
        <v>Null</v>
      </c>
      <c r="AO54" s="23" t="str">
        <f>IF(ISNUMBER(Tabella2[[#This Row],[Amplitute SHEAR stress  (MPa)]]), IF(AND(ISNUMBER(Tabella2[[#This Row],[Amplitute SHEAR stress  (MPa)]]), ISNUMBER(Tabella2[[#This Row],[Torsional moment of inertia (mm^4)]]), ISNUMBER(Tabella2[[#This Row],[Diameter (mm)]])),Tabella2[[#This Row],[Amplitute SHEAR stress  (MPa)]]*Tabella2[[#This Row],[Torsional moment of inertia (mm^4)]]/(0.5*Tabella2[[#This Row],[Diameter (mm)]]),"Null"), "")</f>
        <v>Null</v>
      </c>
      <c r="AP54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54" s="4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153</v>
      </c>
    </row>
    <row r="55" spans="1:43" customFormat="1" ht="20" customHeight="1" x14ac:dyDescent="0.2">
      <c r="A55" s="1" t="s">
        <v>94</v>
      </c>
      <c r="B55" s="1">
        <v>2024</v>
      </c>
      <c r="C55" s="1" t="s">
        <v>97</v>
      </c>
      <c r="D55" s="1" t="s">
        <v>125</v>
      </c>
      <c r="E55" s="28">
        <v>220373</v>
      </c>
      <c r="F55" s="1" t="s">
        <v>20</v>
      </c>
      <c r="G55" s="21" t="s">
        <v>99</v>
      </c>
      <c r="H55" s="1" t="e" vm="6">
        <v>#VALUE!</v>
      </c>
      <c r="I55" s="1" t="s">
        <v>158</v>
      </c>
      <c r="J55" s="1" t="s">
        <v>32</v>
      </c>
      <c r="K55" s="1">
        <v>6</v>
      </c>
      <c r="L55" s="1">
        <v>4</v>
      </c>
      <c r="M55" s="1" t="s">
        <v>21</v>
      </c>
      <c r="N55" s="1" t="s">
        <v>21</v>
      </c>
      <c r="O55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24</v>
      </c>
      <c r="P55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32</v>
      </c>
      <c r="Q55" s="24" t="str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Cannot be calculated</v>
      </c>
      <c r="R55" s="1">
        <v>0</v>
      </c>
      <c r="S55" s="1">
        <v>0</v>
      </c>
      <c r="T55" s="1">
        <v>0</v>
      </c>
      <c r="U55" s="28">
        <v>8</v>
      </c>
      <c r="V55" s="28">
        <v>8</v>
      </c>
      <c r="W55" s="28">
        <v>8</v>
      </c>
      <c r="X55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55" s="1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</v>
      </c>
      <c r="Z55" s="1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55" s="49">
        <v>0</v>
      </c>
      <c r="AB55" s="29">
        <v>0</v>
      </c>
      <c r="AC55" s="14">
        <v>146</v>
      </c>
      <c r="AD55" s="29">
        <v>146</v>
      </c>
      <c r="AE55" s="33" t="s">
        <v>58</v>
      </c>
      <c r="AF55" s="29">
        <v>0</v>
      </c>
      <c r="AG55" s="23">
        <v>0</v>
      </c>
      <c r="AH55" s="29">
        <f>IF(ISNUMBER(Tabella2[[#This Row],[Mean RADIAL stress  (MPa)]]), Tabella2[[#This Row],[Mean RADIAL stress  (MPa)]],"")</f>
        <v>0</v>
      </c>
      <c r="AI55" s="29">
        <f>IF(ISNUMBER(Tabella2[[#This Row],[Amplitute RADIAL stress  (MPa)]]), Tabella2[[#This Row],[Amplitute RADIAL stress  (MPa)]],"")</f>
        <v>0</v>
      </c>
      <c r="AJ55" s="29">
        <f>IF(ISNUMBER(Tabella2[[#This Row],[Mean AXIAL stress  (MPa)]]), IF(Tabella2[[#This Row],[derived from (AXIAL/BENDING) load]]="AXIAL",Tabella2[[#This Row],[Mean AXIAL stress  (MPa)]]*Tabella2[[#This Row],[Area (mm^2)]],"Null"), "")</f>
        <v>3504</v>
      </c>
      <c r="AK55" s="29">
        <f>IF(ISNUMBER(Tabella2[[#This Row],[Amplitute AXIAL stress  (MPa)]]),    IF(Tabella2[[#This Row],[derived from (AXIAL/BENDING) load]]="AXIAL",Tabella2[[#This Row],[Amplitute AXIAL stress  (MPa)]]*Tabella2[[#This Row],[Area (mm^2)]],"Null"), "")</f>
        <v>3504</v>
      </c>
      <c r="AL55" s="29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Row],[Bending moment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Row],[Bending moment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Row],[Bending moment of inertia (mm^4)]]/(Tabella2[[#This Row],[B (mm)]]*0.5),"Null"))),"")</f>
        <v>Null</v>
      </c>
      <c r="AM55" s="29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Row],[Bending moment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Row],[Bending moment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Row],[Bending moment of inertia (mm^4)]]/(Tabella2[[#This Row],[B (mm)]]*0.5),"Null"))), "")</f>
        <v>Null</v>
      </c>
      <c r="AN55" s="29" t="str">
        <f>IF(ISNUMBER(Tabella2[[#This Row],[Mean SHEAR stress  (MPa)]]),  IF(AND(ISNUMBER(Tabella2[[#This Row],[Mean SHEAR stress  (MPa)]]), ISNUMBER(Tabella2[[#This Row],[Torsional moment of inertia (mm^4)]]), ISNUMBER(Tabella2[[#This Row],[Diameter (mm)]])), Tabella2[[#This Row],[Mean SHEAR stress  (MPa)]]*Tabella2[[#This Row],[Torsional moment of inertia (mm^4)]]/(0.5*Tabella2[[#This Row],[Diameter (mm)]]),"Null"), " ")</f>
        <v>Null</v>
      </c>
      <c r="AO55" s="23" t="str">
        <f>IF(ISNUMBER(Tabella2[[#This Row],[Amplitute SHEAR stress  (MPa)]]), IF(AND(ISNUMBER(Tabella2[[#This Row],[Amplitute SHEAR stress  (MPa)]]), ISNUMBER(Tabella2[[#This Row],[Torsional moment of inertia (mm^4)]]), ISNUMBER(Tabella2[[#This Row],[Diameter (mm)]])),Tabella2[[#This Row],[Amplitute SHEAR stress  (MPa)]]*Tabella2[[#This Row],[Torsional moment of inertia (mm^4)]]/(0.5*Tabella2[[#This Row],[Diameter (mm)]]),"Null"), "")</f>
        <v>Null</v>
      </c>
      <c r="AP55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55" s="4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146</v>
      </c>
    </row>
    <row r="56" spans="1:43" customFormat="1" ht="20" customHeight="1" x14ac:dyDescent="0.2">
      <c r="A56" s="1" t="s">
        <v>94</v>
      </c>
      <c r="B56" s="1">
        <v>2024</v>
      </c>
      <c r="C56" s="1" t="s">
        <v>97</v>
      </c>
      <c r="D56" s="1" t="s">
        <v>126</v>
      </c>
      <c r="E56" s="28">
        <v>223607</v>
      </c>
      <c r="F56" s="1" t="s">
        <v>20</v>
      </c>
      <c r="G56" s="21" t="s">
        <v>99</v>
      </c>
      <c r="H56" s="1" t="e" vm="6">
        <v>#VALUE!</v>
      </c>
      <c r="I56" s="1" t="s">
        <v>158</v>
      </c>
      <c r="J56" s="1" t="s">
        <v>32</v>
      </c>
      <c r="K56" s="1">
        <v>6</v>
      </c>
      <c r="L56" s="1">
        <v>4</v>
      </c>
      <c r="M56" s="1" t="s">
        <v>21</v>
      </c>
      <c r="N56" s="1" t="s">
        <v>21</v>
      </c>
      <c r="O56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24</v>
      </c>
      <c r="P56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32</v>
      </c>
      <c r="Q56" s="24" t="str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Cannot be calculated</v>
      </c>
      <c r="R56" s="1">
        <v>0</v>
      </c>
      <c r="S56" s="1">
        <v>0</v>
      </c>
      <c r="T56" s="1">
        <v>0</v>
      </c>
      <c r="U56" s="28">
        <v>8</v>
      </c>
      <c r="V56" s="28">
        <v>8</v>
      </c>
      <c r="W56" s="28">
        <v>8</v>
      </c>
      <c r="X56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56" s="1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</v>
      </c>
      <c r="Z56" s="1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56" s="49">
        <v>0</v>
      </c>
      <c r="AB56" s="29">
        <v>0</v>
      </c>
      <c r="AC56" s="14">
        <v>146.5</v>
      </c>
      <c r="AD56" s="29">
        <v>146.5</v>
      </c>
      <c r="AE56" s="33" t="s">
        <v>58</v>
      </c>
      <c r="AF56" s="29">
        <v>0</v>
      </c>
      <c r="AG56" s="23">
        <v>0</v>
      </c>
      <c r="AH56" s="29">
        <f>IF(ISNUMBER(Tabella2[[#This Row],[Mean RADIAL stress  (MPa)]]), Tabella2[[#This Row],[Mean RADIAL stress  (MPa)]],"")</f>
        <v>0</v>
      </c>
      <c r="AI56" s="29">
        <f>IF(ISNUMBER(Tabella2[[#This Row],[Amplitute RADIAL stress  (MPa)]]), Tabella2[[#This Row],[Amplitute RADIAL stress  (MPa)]],"")</f>
        <v>0</v>
      </c>
      <c r="AJ56" s="29">
        <f>IF(ISNUMBER(Tabella2[[#This Row],[Mean AXIAL stress  (MPa)]]), IF(Tabella2[[#This Row],[derived from (AXIAL/BENDING) load]]="AXIAL",Tabella2[[#This Row],[Mean AXIAL stress  (MPa)]]*Tabella2[[#This Row],[Area (mm^2)]],"Null"), "")</f>
        <v>3516</v>
      </c>
      <c r="AK56" s="29">
        <f>IF(ISNUMBER(Tabella2[[#This Row],[Amplitute AXIAL stress  (MPa)]]),    IF(Tabella2[[#This Row],[derived from (AXIAL/BENDING) load]]="AXIAL",Tabella2[[#This Row],[Amplitute AXIAL stress  (MPa)]]*Tabella2[[#This Row],[Area (mm^2)]],"Null"), "")</f>
        <v>3516</v>
      </c>
      <c r="AL56" s="29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Row],[Bending moment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Row],[Bending moment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Row],[Bending moment of inertia (mm^4)]]/(Tabella2[[#This Row],[B (mm)]]*0.5),"Null"))),"")</f>
        <v>Null</v>
      </c>
      <c r="AM56" s="29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Row],[Bending moment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Row],[Bending moment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Row],[Bending moment of inertia (mm^4)]]/(Tabella2[[#This Row],[B (mm)]]*0.5),"Null"))), "")</f>
        <v>Null</v>
      </c>
      <c r="AN56" s="29" t="str">
        <f>IF(ISNUMBER(Tabella2[[#This Row],[Mean SHEAR stress  (MPa)]]),  IF(AND(ISNUMBER(Tabella2[[#This Row],[Mean SHEAR stress  (MPa)]]), ISNUMBER(Tabella2[[#This Row],[Torsional moment of inertia (mm^4)]]), ISNUMBER(Tabella2[[#This Row],[Diameter (mm)]])), Tabella2[[#This Row],[Mean SHEAR stress  (MPa)]]*Tabella2[[#This Row],[Torsional moment of inertia (mm^4)]]/(0.5*Tabella2[[#This Row],[Diameter (mm)]]),"Null"), " ")</f>
        <v>Null</v>
      </c>
      <c r="AO56" s="23" t="str">
        <f>IF(ISNUMBER(Tabella2[[#This Row],[Amplitute SHEAR stress  (MPa)]]), IF(AND(ISNUMBER(Tabella2[[#This Row],[Amplitute SHEAR stress  (MPa)]]), ISNUMBER(Tabella2[[#This Row],[Torsional moment of inertia (mm^4)]]), ISNUMBER(Tabella2[[#This Row],[Diameter (mm)]])),Tabella2[[#This Row],[Amplitute SHEAR stress  (MPa)]]*Tabella2[[#This Row],[Torsional moment of inertia (mm^4)]]/(0.5*Tabella2[[#This Row],[Diameter (mm)]]),"Null"), "")</f>
        <v>Null</v>
      </c>
      <c r="AP56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56" s="4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146.5</v>
      </c>
    </row>
    <row r="57" spans="1:43" customFormat="1" ht="20" customHeight="1" x14ac:dyDescent="0.2">
      <c r="A57" s="1" t="s">
        <v>94</v>
      </c>
      <c r="B57" s="1">
        <v>2024</v>
      </c>
      <c r="C57" s="1" t="s">
        <v>97</v>
      </c>
      <c r="D57" s="1" t="s">
        <v>127</v>
      </c>
      <c r="E57" s="28">
        <v>249456</v>
      </c>
      <c r="F57" s="1" t="s">
        <v>20</v>
      </c>
      <c r="G57" s="21" t="s">
        <v>99</v>
      </c>
      <c r="H57" s="1" t="e" vm="6">
        <v>#VALUE!</v>
      </c>
      <c r="I57" s="1" t="s">
        <v>158</v>
      </c>
      <c r="J57" s="1" t="s">
        <v>32</v>
      </c>
      <c r="K57" s="1">
        <v>6</v>
      </c>
      <c r="L57" s="1">
        <v>4</v>
      </c>
      <c r="M57" s="1" t="s">
        <v>21</v>
      </c>
      <c r="N57" s="1" t="s">
        <v>21</v>
      </c>
      <c r="O57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24</v>
      </c>
      <c r="P57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32</v>
      </c>
      <c r="Q57" s="24" t="str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Cannot be calculated</v>
      </c>
      <c r="R57" s="1">
        <v>0</v>
      </c>
      <c r="S57" s="1">
        <v>0</v>
      </c>
      <c r="T57" s="1">
        <v>0</v>
      </c>
      <c r="U57" s="28">
        <v>8</v>
      </c>
      <c r="V57" s="28">
        <v>8</v>
      </c>
      <c r="W57" s="28">
        <v>8</v>
      </c>
      <c r="X57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57" s="1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</v>
      </c>
      <c r="Z57" s="1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57" s="49">
        <v>0</v>
      </c>
      <c r="AB57" s="29">
        <v>0</v>
      </c>
      <c r="AC57" s="14">
        <v>137.5</v>
      </c>
      <c r="AD57" s="29">
        <v>137.5</v>
      </c>
      <c r="AE57" s="33" t="s">
        <v>58</v>
      </c>
      <c r="AF57" s="29">
        <v>0</v>
      </c>
      <c r="AG57" s="23">
        <v>0</v>
      </c>
      <c r="AH57" s="29">
        <f>IF(ISNUMBER(Tabella2[[#This Row],[Mean RADIAL stress  (MPa)]]), Tabella2[[#This Row],[Mean RADIAL stress  (MPa)]],"")</f>
        <v>0</v>
      </c>
      <c r="AI57" s="29">
        <f>IF(ISNUMBER(Tabella2[[#This Row],[Amplitute RADIAL stress  (MPa)]]), Tabella2[[#This Row],[Amplitute RADIAL stress  (MPa)]],"")</f>
        <v>0</v>
      </c>
      <c r="AJ57" s="29">
        <f>IF(ISNUMBER(Tabella2[[#This Row],[Mean AXIAL stress  (MPa)]]), IF(Tabella2[[#This Row],[derived from (AXIAL/BENDING) load]]="AXIAL",Tabella2[[#This Row],[Mean AXIAL stress  (MPa)]]*Tabella2[[#This Row],[Area (mm^2)]],"Null"), "")</f>
        <v>3300</v>
      </c>
      <c r="AK57" s="29">
        <f>IF(ISNUMBER(Tabella2[[#This Row],[Amplitute AXIAL stress  (MPa)]]),    IF(Tabella2[[#This Row],[derived from (AXIAL/BENDING) load]]="AXIAL",Tabella2[[#This Row],[Amplitute AXIAL stress  (MPa)]]*Tabella2[[#This Row],[Area (mm^2)]],"Null"), "")</f>
        <v>3300</v>
      </c>
      <c r="AL57" s="29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Row],[Bending moment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Row],[Bending moment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Row],[Bending moment of inertia (mm^4)]]/(Tabella2[[#This Row],[B (mm)]]*0.5),"Null"))),"")</f>
        <v>Null</v>
      </c>
      <c r="AM57" s="29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Row],[Bending moment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Row],[Bending moment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Row],[Bending moment of inertia (mm^4)]]/(Tabella2[[#This Row],[B (mm)]]*0.5),"Null"))), "")</f>
        <v>Null</v>
      </c>
      <c r="AN57" s="29" t="str">
        <f>IF(ISNUMBER(Tabella2[[#This Row],[Mean SHEAR stress  (MPa)]]),  IF(AND(ISNUMBER(Tabella2[[#This Row],[Mean SHEAR stress  (MPa)]]), ISNUMBER(Tabella2[[#This Row],[Torsional moment of inertia (mm^4)]]), ISNUMBER(Tabella2[[#This Row],[Diameter (mm)]])), Tabella2[[#This Row],[Mean SHEAR stress  (MPa)]]*Tabella2[[#This Row],[Torsional moment of inertia (mm^4)]]/(0.5*Tabella2[[#This Row],[Diameter (mm)]]),"Null"), " ")</f>
        <v>Null</v>
      </c>
      <c r="AO57" s="23" t="str">
        <f>IF(ISNUMBER(Tabella2[[#This Row],[Amplitute SHEAR stress  (MPa)]]), IF(AND(ISNUMBER(Tabella2[[#This Row],[Amplitute SHEAR stress  (MPa)]]), ISNUMBER(Tabella2[[#This Row],[Torsional moment of inertia (mm^4)]]), ISNUMBER(Tabella2[[#This Row],[Diameter (mm)]])),Tabella2[[#This Row],[Amplitute SHEAR stress  (MPa)]]*Tabella2[[#This Row],[Torsional moment of inertia (mm^4)]]/(0.5*Tabella2[[#This Row],[Diameter (mm)]]),"Null"), "")</f>
        <v>Null</v>
      </c>
      <c r="AP57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57" s="4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137.5</v>
      </c>
    </row>
    <row r="58" spans="1:43" customFormat="1" ht="20" customHeight="1" x14ac:dyDescent="0.2">
      <c r="A58" s="1" t="s">
        <v>94</v>
      </c>
      <c r="B58" s="1">
        <v>2024</v>
      </c>
      <c r="C58" s="1" t="s">
        <v>97</v>
      </c>
      <c r="D58" s="1" t="s">
        <v>128</v>
      </c>
      <c r="E58" s="28">
        <v>283473</v>
      </c>
      <c r="F58" s="1" t="s">
        <v>20</v>
      </c>
      <c r="G58" s="21" t="s">
        <v>99</v>
      </c>
      <c r="H58" s="1" t="e" vm="6">
        <v>#VALUE!</v>
      </c>
      <c r="I58" s="1" t="s">
        <v>158</v>
      </c>
      <c r="J58" s="1" t="s">
        <v>32</v>
      </c>
      <c r="K58" s="1">
        <v>6</v>
      </c>
      <c r="L58" s="1">
        <v>4</v>
      </c>
      <c r="M58" s="1" t="s">
        <v>21</v>
      </c>
      <c r="N58" s="1" t="s">
        <v>21</v>
      </c>
      <c r="O58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24</v>
      </c>
      <c r="P58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32</v>
      </c>
      <c r="Q58" s="24" t="str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Cannot be calculated</v>
      </c>
      <c r="R58" s="1">
        <v>0</v>
      </c>
      <c r="S58" s="1">
        <v>0</v>
      </c>
      <c r="T58" s="1">
        <v>0</v>
      </c>
      <c r="U58" s="28">
        <v>8</v>
      </c>
      <c r="V58" s="28">
        <v>8</v>
      </c>
      <c r="W58" s="28">
        <v>8</v>
      </c>
      <c r="X58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58" s="1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</v>
      </c>
      <c r="Z58" s="1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58" s="49">
        <v>0</v>
      </c>
      <c r="AB58" s="29">
        <v>0</v>
      </c>
      <c r="AC58" s="14">
        <v>133.5</v>
      </c>
      <c r="AD58" s="29">
        <v>133.5</v>
      </c>
      <c r="AE58" s="33" t="s">
        <v>58</v>
      </c>
      <c r="AF58" s="29">
        <v>0</v>
      </c>
      <c r="AG58" s="23">
        <v>0</v>
      </c>
      <c r="AH58" s="29">
        <f>IF(ISNUMBER(Tabella2[[#This Row],[Mean RADIAL stress  (MPa)]]), Tabella2[[#This Row],[Mean RADIAL stress  (MPa)]],"")</f>
        <v>0</v>
      </c>
      <c r="AI58" s="29">
        <f>IF(ISNUMBER(Tabella2[[#This Row],[Amplitute RADIAL stress  (MPa)]]), Tabella2[[#This Row],[Amplitute RADIAL stress  (MPa)]],"")</f>
        <v>0</v>
      </c>
      <c r="AJ58" s="29">
        <f>IF(ISNUMBER(Tabella2[[#This Row],[Mean AXIAL stress  (MPa)]]), IF(Tabella2[[#This Row],[derived from (AXIAL/BENDING) load]]="AXIAL",Tabella2[[#This Row],[Mean AXIAL stress  (MPa)]]*Tabella2[[#This Row],[Area (mm^2)]],"Null"), "")</f>
        <v>3204</v>
      </c>
      <c r="AK58" s="29">
        <f>IF(ISNUMBER(Tabella2[[#This Row],[Amplitute AXIAL stress  (MPa)]]),    IF(Tabella2[[#This Row],[derived from (AXIAL/BENDING) load]]="AXIAL",Tabella2[[#This Row],[Amplitute AXIAL stress  (MPa)]]*Tabella2[[#This Row],[Area (mm^2)]],"Null"), "")</f>
        <v>3204</v>
      </c>
      <c r="AL58" s="29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Row],[Bending moment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Row],[Bending moment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Row],[Bending moment of inertia (mm^4)]]/(Tabella2[[#This Row],[B (mm)]]*0.5),"Null"))),"")</f>
        <v>Null</v>
      </c>
      <c r="AM58" s="29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Row],[Bending moment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Row],[Bending moment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Row],[Bending moment of inertia (mm^4)]]/(Tabella2[[#This Row],[B (mm)]]*0.5),"Null"))), "")</f>
        <v>Null</v>
      </c>
      <c r="AN58" s="29" t="str">
        <f>IF(ISNUMBER(Tabella2[[#This Row],[Mean SHEAR stress  (MPa)]]),  IF(AND(ISNUMBER(Tabella2[[#This Row],[Mean SHEAR stress  (MPa)]]), ISNUMBER(Tabella2[[#This Row],[Torsional moment of inertia (mm^4)]]), ISNUMBER(Tabella2[[#This Row],[Diameter (mm)]])), Tabella2[[#This Row],[Mean SHEAR stress  (MPa)]]*Tabella2[[#This Row],[Torsional moment of inertia (mm^4)]]/(0.5*Tabella2[[#This Row],[Diameter (mm)]]),"Null"), " ")</f>
        <v>Null</v>
      </c>
      <c r="AO58" s="23" t="str">
        <f>IF(ISNUMBER(Tabella2[[#This Row],[Amplitute SHEAR stress  (MPa)]]), IF(AND(ISNUMBER(Tabella2[[#This Row],[Amplitute SHEAR stress  (MPa)]]), ISNUMBER(Tabella2[[#This Row],[Torsional moment of inertia (mm^4)]]), ISNUMBER(Tabella2[[#This Row],[Diameter (mm)]])),Tabella2[[#This Row],[Amplitute SHEAR stress  (MPa)]]*Tabella2[[#This Row],[Torsional moment of inertia (mm^4)]]/(0.5*Tabella2[[#This Row],[Diameter (mm)]]),"Null"), "")</f>
        <v>Null</v>
      </c>
      <c r="AP58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58" s="4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133.5</v>
      </c>
    </row>
    <row r="59" spans="1:43" customFormat="1" ht="20" customHeight="1" x14ac:dyDescent="0.2">
      <c r="A59" s="1" t="s">
        <v>94</v>
      </c>
      <c r="B59" s="1">
        <v>2024</v>
      </c>
      <c r="C59" s="1" t="s">
        <v>97</v>
      </c>
      <c r="D59" s="1" t="s">
        <v>129</v>
      </c>
      <c r="E59" s="28">
        <v>337118</v>
      </c>
      <c r="F59" s="1" t="s">
        <v>20</v>
      </c>
      <c r="G59" s="21" t="s">
        <v>99</v>
      </c>
      <c r="H59" s="1" t="e" vm="6">
        <v>#VALUE!</v>
      </c>
      <c r="I59" s="1" t="s">
        <v>158</v>
      </c>
      <c r="J59" s="1" t="s">
        <v>32</v>
      </c>
      <c r="K59" s="1">
        <v>6</v>
      </c>
      <c r="L59" s="1">
        <v>4</v>
      </c>
      <c r="M59" s="1" t="s">
        <v>21</v>
      </c>
      <c r="N59" s="1" t="s">
        <v>21</v>
      </c>
      <c r="O59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24</v>
      </c>
      <c r="P59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32</v>
      </c>
      <c r="Q59" s="24" t="str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Cannot be calculated</v>
      </c>
      <c r="R59" s="1">
        <v>0</v>
      </c>
      <c r="S59" s="1">
        <v>0</v>
      </c>
      <c r="T59" s="1">
        <v>0</v>
      </c>
      <c r="U59" s="28">
        <v>8</v>
      </c>
      <c r="V59" s="28">
        <v>8</v>
      </c>
      <c r="W59" s="28">
        <v>8</v>
      </c>
      <c r="X59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59" s="1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</v>
      </c>
      <c r="Z59" s="1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59" s="49">
        <v>0</v>
      </c>
      <c r="AB59" s="29">
        <v>0</v>
      </c>
      <c r="AC59" s="14">
        <v>141.5</v>
      </c>
      <c r="AD59" s="29">
        <v>141.5</v>
      </c>
      <c r="AE59" s="33" t="s">
        <v>58</v>
      </c>
      <c r="AF59" s="29">
        <v>0</v>
      </c>
      <c r="AG59" s="23">
        <v>0</v>
      </c>
      <c r="AH59" s="29">
        <f>IF(ISNUMBER(Tabella2[[#This Row],[Mean RADIAL stress  (MPa)]]), Tabella2[[#This Row],[Mean RADIAL stress  (MPa)]],"")</f>
        <v>0</v>
      </c>
      <c r="AI59" s="29">
        <f>IF(ISNUMBER(Tabella2[[#This Row],[Amplitute RADIAL stress  (MPa)]]), Tabella2[[#This Row],[Amplitute RADIAL stress  (MPa)]],"")</f>
        <v>0</v>
      </c>
      <c r="AJ59" s="29">
        <f>IF(ISNUMBER(Tabella2[[#This Row],[Mean AXIAL stress  (MPa)]]), IF(Tabella2[[#This Row],[derived from (AXIAL/BENDING) load]]="AXIAL",Tabella2[[#This Row],[Mean AXIAL stress  (MPa)]]*Tabella2[[#This Row],[Area (mm^2)]],"Null"), "")</f>
        <v>3396</v>
      </c>
      <c r="AK59" s="29">
        <f>IF(ISNUMBER(Tabella2[[#This Row],[Amplitute AXIAL stress  (MPa)]]),    IF(Tabella2[[#This Row],[derived from (AXIAL/BENDING) load]]="AXIAL",Tabella2[[#This Row],[Amplitute AXIAL stress  (MPa)]]*Tabella2[[#This Row],[Area (mm^2)]],"Null"), "")</f>
        <v>3396</v>
      </c>
      <c r="AL59" s="29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Row],[Bending moment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Row],[Bending moment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Row],[Bending moment of inertia (mm^4)]]/(Tabella2[[#This Row],[B (mm)]]*0.5),"Null"))),"")</f>
        <v>Null</v>
      </c>
      <c r="AM59" s="29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Row],[Bending moment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Row],[Bending moment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Row],[Bending moment of inertia (mm^4)]]/(Tabella2[[#This Row],[B (mm)]]*0.5),"Null"))), "")</f>
        <v>Null</v>
      </c>
      <c r="AN59" s="29" t="str">
        <f>IF(ISNUMBER(Tabella2[[#This Row],[Mean SHEAR stress  (MPa)]]),  IF(AND(ISNUMBER(Tabella2[[#This Row],[Mean SHEAR stress  (MPa)]]), ISNUMBER(Tabella2[[#This Row],[Torsional moment of inertia (mm^4)]]), ISNUMBER(Tabella2[[#This Row],[Diameter (mm)]])), Tabella2[[#This Row],[Mean SHEAR stress  (MPa)]]*Tabella2[[#This Row],[Torsional moment of inertia (mm^4)]]/(0.5*Tabella2[[#This Row],[Diameter (mm)]]),"Null"), " ")</f>
        <v>Null</v>
      </c>
      <c r="AO59" s="23" t="str">
        <f>IF(ISNUMBER(Tabella2[[#This Row],[Amplitute SHEAR stress  (MPa)]]), IF(AND(ISNUMBER(Tabella2[[#This Row],[Amplitute SHEAR stress  (MPa)]]), ISNUMBER(Tabella2[[#This Row],[Torsional moment of inertia (mm^4)]]), ISNUMBER(Tabella2[[#This Row],[Diameter (mm)]])),Tabella2[[#This Row],[Amplitute SHEAR stress  (MPa)]]*Tabella2[[#This Row],[Torsional moment of inertia (mm^4)]]/(0.5*Tabella2[[#This Row],[Diameter (mm)]]),"Null"), "")</f>
        <v>Null</v>
      </c>
      <c r="AP59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59" s="4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141.5</v>
      </c>
    </row>
    <row r="60" spans="1:43" customFormat="1" ht="20" customHeight="1" x14ac:dyDescent="0.2">
      <c r="A60" s="1" t="s">
        <v>94</v>
      </c>
      <c r="B60" s="1">
        <v>2024</v>
      </c>
      <c r="C60" s="1" t="s">
        <v>97</v>
      </c>
      <c r="D60" s="1" t="s">
        <v>130</v>
      </c>
      <c r="E60" s="28">
        <v>347909</v>
      </c>
      <c r="F60" s="1" t="s">
        <v>20</v>
      </c>
      <c r="G60" s="21" t="s">
        <v>99</v>
      </c>
      <c r="H60" s="1" t="e" vm="6">
        <v>#VALUE!</v>
      </c>
      <c r="I60" s="1" t="s">
        <v>158</v>
      </c>
      <c r="J60" s="1" t="s">
        <v>32</v>
      </c>
      <c r="K60" s="1">
        <v>6</v>
      </c>
      <c r="L60" s="1">
        <v>4</v>
      </c>
      <c r="M60" s="1" t="s">
        <v>21</v>
      </c>
      <c r="N60" s="1" t="s">
        <v>21</v>
      </c>
      <c r="O60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24</v>
      </c>
      <c r="P60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32</v>
      </c>
      <c r="Q60" s="24" t="str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Cannot be calculated</v>
      </c>
      <c r="R60" s="1">
        <v>0</v>
      </c>
      <c r="S60" s="1">
        <v>0</v>
      </c>
      <c r="T60" s="1">
        <v>0</v>
      </c>
      <c r="U60" s="28">
        <v>8</v>
      </c>
      <c r="V60" s="28">
        <v>8</v>
      </c>
      <c r="W60" s="28">
        <v>8</v>
      </c>
      <c r="X60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60" s="1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</v>
      </c>
      <c r="Z60" s="1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60" s="49">
        <v>0</v>
      </c>
      <c r="AB60" s="29">
        <v>0</v>
      </c>
      <c r="AC60" s="14">
        <v>144</v>
      </c>
      <c r="AD60" s="29">
        <v>144</v>
      </c>
      <c r="AE60" s="33" t="s">
        <v>58</v>
      </c>
      <c r="AF60" s="29">
        <v>0</v>
      </c>
      <c r="AG60" s="23">
        <v>0</v>
      </c>
      <c r="AH60" s="29">
        <f>IF(ISNUMBER(Tabella2[[#This Row],[Mean RADIAL stress  (MPa)]]), Tabella2[[#This Row],[Mean RADIAL stress  (MPa)]],"")</f>
        <v>0</v>
      </c>
      <c r="AI60" s="29">
        <f>IF(ISNUMBER(Tabella2[[#This Row],[Amplitute RADIAL stress  (MPa)]]), Tabella2[[#This Row],[Amplitute RADIAL stress  (MPa)]],"")</f>
        <v>0</v>
      </c>
      <c r="AJ60" s="29">
        <f>IF(ISNUMBER(Tabella2[[#This Row],[Mean AXIAL stress  (MPa)]]), IF(Tabella2[[#This Row],[derived from (AXIAL/BENDING) load]]="AXIAL",Tabella2[[#This Row],[Mean AXIAL stress  (MPa)]]*Tabella2[[#This Row],[Area (mm^2)]],"Null"), "")</f>
        <v>3456</v>
      </c>
      <c r="AK60" s="29">
        <f>IF(ISNUMBER(Tabella2[[#This Row],[Amplitute AXIAL stress  (MPa)]]),    IF(Tabella2[[#This Row],[derived from (AXIAL/BENDING) load]]="AXIAL",Tabella2[[#This Row],[Amplitute AXIAL stress  (MPa)]]*Tabella2[[#This Row],[Area (mm^2)]],"Null"), "")</f>
        <v>3456</v>
      </c>
      <c r="AL60" s="29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Row],[Bending moment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Row],[Bending moment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Row],[Bending moment of inertia (mm^4)]]/(Tabella2[[#This Row],[B (mm)]]*0.5),"Null"))),"")</f>
        <v>Null</v>
      </c>
      <c r="AM60" s="29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Row],[Bending moment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Row],[Bending moment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Row],[Bending moment of inertia (mm^4)]]/(Tabella2[[#This Row],[B (mm)]]*0.5),"Null"))), "")</f>
        <v>Null</v>
      </c>
      <c r="AN60" s="29" t="str">
        <f>IF(ISNUMBER(Tabella2[[#This Row],[Mean SHEAR stress  (MPa)]]),  IF(AND(ISNUMBER(Tabella2[[#This Row],[Mean SHEAR stress  (MPa)]]), ISNUMBER(Tabella2[[#This Row],[Torsional moment of inertia (mm^4)]]), ISNUMBER(Tabella2[[#This Row],[Diameter (mm)]])), Tabella2[[#This Row],[Mean SHEAR stress  (MPa)]]*Tabella2[[#This Row],[Torsional moment of inertia (mm^4)]]/(0.5*Tabella2[[#This Row],[Diameter (mm)]]),"Null"), " ")</f>
        <v>Null</v>
      </c>
      <c r="AO60" s="23" t="str">
        <f>IF(ISNUMBER(Tabella2[[#This Row],[Amplitute SHEAR stress  (MPa)]]), IF(AND(ISNUMBER(Tabella2[[#This Row],[Amplitute SHEAR stress  (MPa)]]), ISNUMBER(Tabella2[[#This Row],[Torsional moment of inertia (mm^4)]]), ISNUMBER(Tabella2[[#This Row],[Diameter (mm)]])),Tabella2[[#This Row],[Amplitute SHEAR stress  (MPa)]]*Tabella2[[#This Row],[Torsional moment of inertia (mm^4)]]/(0.5*Tabella2[[#This Row],[Diameter (mm)]]),"Null"), "")</f>
        <v>Null</v>
      </c>
      <c r="AP60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60" s="4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144</v>
      </c>
    </row>
    <row r="61" spans="1:43" customFormat="1" ht="20" customHeight="1" x14ac:dyDescent="0.2">
      <c r="A61" s="1" t="s">
        <v>94</v>
      </c>
      <c r="B61" s="1">
        <v>2024</v>
      </c>
      <c r="C61" s="1" t="s">
        <v>97</v>
      </c>
      <c r="D61" s="1" t="s">
        <v>131</v>
      </c>
      <c r="E61" s="28">
        <v>415552</v>
      </c>
      <c r="F61" s="1" t="s">
        <v>20</v>
      </c>
      <c r="G61" s="21" t="s">
        <v>99</v>
      </c>
      <c r="H61" s="1" t="e" vm="6">
        <v>#VALUE!</v>
      </c>
      <c r="I61" s="1" t="s">
        <v>158</v>
      </c>
      <c r="J61" s="1" t="s">
        <v>32</v>
      </c>
      <c r="K61" s="1">
        <v>6</v>
      </c>
      <c r="L61" s="1">
        <v>4</v>
      </c>
      <c r="M61" s="1" t="s">
        <v>21</v>
      </c>
      <c r="N61" s="1" t="s">
        <v>21</v>
      </c>
      <c r="O61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24</v>
      </c>
      <c r="P61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32</v>
      </c>
      <c r="Q61" s="24" t="str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Cannot be calculated</v>
      </c>
      <c r="R61" s="1">
        <v>0</v>
      </c>
      <c r="S61" s="1">
        <v>0</v>
      </c>
      <c r="T61" s="1">
        <v>0</v>
      </c>
      <c r="U61" s="28">
        <v>8</v>
      </c>
      <c r="V61" s="28">
        <v>8</v>
      </c>
      <c r="W61" s="28">
        <v>8</v>
      </c>
      <c r="X61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61" s="1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</v>
      </c>
      <c r="Z61" s="1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61" s="49">
        <v>0</v>
      </c>
      <c r="AB61" s="29">
        <v>0</v>
      </c>
      <c r="AC61" s="14">
        <v>125</v>
      </c>
      <c r="AD61" s="29">
        <v>125</v>
      </c>
      <c r="AE61" s="33" t="s">
        <v>58</v>
      </c>
      <c r="AF61" s="29">
        <v>0</v>
      </c>
      <c r="AG61" s="23">
        <v>0</v>
      </c>
      <c r="AH61" s="29">
        <f>IF(ISNUMBER(Tabella2[[#This Row],[Mean RADIAL stress  (MPa)]]), Tabella2[[#This Row],[Mean RADIAL stress  (MPa)]],"")</f>
        <v>0</v>
      </c>
      <c r="AI61" s="29">
        <f>IF(ISNUMBER(Tabella2[[#This Row],[Amplitute RADIAL stress  (MPa)]]), Tabella2[[#This Row],[Amplitute RADIAL stress  (MPa)]],"")</f>
        <v>0</v>
      </c>
      <c r="AJ61" s="29">
        <f>IF(ISNUMBER(Tabella2[[#This Row],[Mean AXIAL stress  (MPa)]]), IF(Tabella2[[#This Row],[derived from (AXIAL/BENDING) load]]="AXIAL",Tabella2[[#This Row],[Mean AXIAL stress  (MPa)]]*Tabella2[[#This Row],[Area (mm^2)]],"Null"), "")</f>
        <v>3000</v>
      </c>
      <c r="AK61" s="29">
        <f>IF(ISNUMBER(Tabella2[[#This Row],[Amplitute AXIAL stress  (MPa)]]),    IF(Tabella2[[#This Row],[derived from (AXIAL/BENDING) load]]="AXIAL",Tabella2[[#This Row],[Amplitute AXIAL stress  (MPa)]]*Tabella2[[#This Row],[Area (mm^2)]],"Null"), "")</f>
        <v>3000</v>
      </c>
      <c r="AL61" s="29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Row],[Bending moment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Row],[Bending moment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Row],[Bending moment of inertia (mm^4)]]/(Tabella2[[#This Row],[B (mm)]]*0.5),"Null"))),"")</f>
        <v>Null</v>
      </c>
      <c r="AM61" s="29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Row],[Bending moment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Row],[Bending moment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Row],[Bending moment of inertia (mm^4)]]/(Tabella2[[#This Row],[B (mm)]]*0.5),"Null"))), "")</f>
        <v>Null</v>
      </c>
      <c r="AN61" s="29" t="str">
        <f>IF(ISNUMBER(Tabella2[[#This Row],[Mean SHEAR stress  (MPa)]]),  IF(AND(ISNUMBER(Tabella2[[#This Row],[Mean SHEAR stress  (MPa)]]), ISNUMBER(Tabella2[[#This Row],[Torsional moment of inertia (mm^4)]]), ISNUMBER(Tabella2[[#This Row],[Diameter (mm)]])), Tabella2[[#This Row],[Mean SHEAR stress  (MPa)]]*Tabella2[[#This Row],[Torsional moment of inertia (mm^4)]]/(0.5*Tabella2[[#This Row],[Diameter (mm)]]),"Null"), " ")</f>
        <v>Null</v>
      </c>
      <c r="AO61" s="23" t="str">
        <f>IF(ISNUMBER(Tabella2[[#This Row],[Amplitute SHEAR stress  (MPa)]]), IF(AND(ISNUMBER(Tabella2[[#This Row],[Amplitute SHEAR stress  (MPa)]]), ISNUMBER(Tabella2[[#This Row],[Torsional moment of inertia (mm^4)]]), ISNUMBER(Tabella2[[#This Row],[Diameter (mm)]])),Tabella2[[#This Row],[Amplitute SHEAR stress  (MPa)]]*Tabella2[[#This Row],[Torsional moment of inertia (mm^4)]]/(0.5*Tabella2[[#This Row],[Diameter (mm)]]),"Null"), "")</f>
        <v>Null</v>
      </c>
      <c r="AP61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61" s="4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125</v>
      </c>
    </row>
    <row r="62" spans="1:43" customFormat="1" ht="20" customHeight="1" x14ac:dyDescent="0.2">
      <c r="A62" s="1" t="s">
        <v>94</v>
      </c>
      <c r="B62" s="1">
        <v>2024</v>
      </c>
      <c r="C62" s="1" t="s">
        <v>97</v>
      </c>
      <c r="D62" s="1" t="s">
        <v>132</v>
      </c>
      <c r="E62" s="28">
        <v>424117</v>
      </c>
      <c r="F62" s="1" t="s">
        <v>20</v>
      </c>
      <c r="G62" s="21" t="s">
        <v>99</v>
      </c>
      <c r="H62" s="1" t="e" vm="6">
        <v>#VALUE!</v>
      </c>
      <c r="I62" s="1" t="s">
        <v>158</v>
      </c>
      <c r="J62" s="1" t="s">
        <v>32</v>
      </c>
      <c r="K62" s="1">
        <v>6</v>
      </c>
      <c r="L62" s="1">
        <v>4</v>
      </c>
      <c r="M62" s="1" t="s">
        <v>21</v>
      </c>
      <c r="N62" s="1" t="s">
        <v>21</v>
      </c>
      <c r="O62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24</v>
      </c>
      <c r="P62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32</v>
      </c>
      <c r="Q62" s="24" t="str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Cannot be calculated</v>
      </c>
      <c r="R62" s="1">
        <v>0</v>
      </c>
      <c r="S62" s="1">
        <v>0</v>
      </c>
      <c r="T62" s="1">
        <v>0</v>
      </c>
      <c r="U62" s="28">
        <v>8</v>
      </c>
      <c r="V62" s="28">
        <v>8</v>
      </c>
      <c r="W62" s="28">
        <v>8</v>
      </c>
      <c r="X62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62" s="1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</v>
      </c>
      <c r="Z62" s="1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62" s="49">
        <v>0</v>
      </c>
      <c r="AB62" s="29">
        <v>0</v>
      </c>
      <c r="AC62" s="14">
        <v>150</v>
      </c>
      <c r="AD62" s="29">
        <v>150</v>
      </c>
      <c r="AE62" s="33" t="s">
        <v>58</v>
      </c>
      <c r="AF62" s="29">
        <v>0</v>
      </c>
      <c r="AG62" s="23">
        <v>0</v>
      </c>
      <c r="AH62" s="29">
        <f>IF(ISNUMBER(Tabella2[[#This Row],[Mean RADIAL stress  (MPa)]]), Tabella2[[#This Row],[Mean RADIAL stress  (MPa)]],"")</f>
        <v>0</v>
      </c>
      <c r="AI62" s="29">
        <f>IF(ISNUMBER(Tabella2[[#This Row],[Amplitute RADIAL stress  (MPa)]]), Tabella2[[#This Row],[Amplitute RADIAL stress  (MPa)]],"")</f>
        <v>0</v>
      </c>
      <c r="AJ62" s="29">
        <f>IF(ISNUMBER(Tabella2[[#This Row],[Mean AXIAL stress  (MPa)]]), IF(Tabella2[[#This Row],[derived from (AXIAL/BENDING) load]]="AXIAL",Tabella2[[#This Row],[Mean AXIAL stress  (MPa)]]*Tabella2[[#This Row],[Area (mm^2)]],"Null"), "")</f>
        <v>3600</v>
      </c>
      <c r="AK62" s="29">
        <f>IF(ISNUMBER(Tabella2[[#This Row],[Amplitute AXIAL stress  (MPa)]]),    IF(Tabella2[[#This Row],[derived from (AXIAL/BENDING) load]]="AXIAL",Tabella2[[#This Row],[Amplitute AXIAL stress  (MPa)]]*Tabella2[[#This Row],[Area (mm^2)]],"Null"), "")</f>
        <v>3600</v>
      </c>
      <c r="AL62" s="29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Row],[Bending moment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Row],[Bending moment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Row],[Bending moment of inertia (mm^4)]]/(Tabella2[[#This Row],[B (mm)]]*0.5),"Null"))),"")</f>
        <v>Null</v>
      </c>
      <c r="AM62" s="29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Row],[Bending moment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Row],[Bending moment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Row],[Bending moment of inertia (mm^4)]]/(Tabella2[[#This Row],[B (mm)]]*0.5),"Null"))), "")</f>
        <v>Null</v>
      </c>
      <c r="AN62" s="29" t="str">
        <f>IF(ISNUMBER(Tabella2[[#This Row],[Mean SHEAR stress  (MPa)]]),  IF(AND(ISNUMBER(Tabella2[[#This Row],[Mean SHEAR stress  (MPa)]]), ISNUMBER(Tabella2[[#This Row],[Torsional moment of inertia (mm^4)]]), ISNUMBER(Tabella2[[#This Row],[Diameter (mm)]])), Tabella2[[#This Row],[Mean SHEAR stress  (MPa)]]*Tabella2[[#This Row],[Torsional moment of inertia (mm^4)]]/(0.5*Tabella2[[#This Row],[Diameter (mm)]]),"Null"), " ")</f>
        <v>Null</v>
      </c>
      <c r="AO62" s="23" t="str">
        <f>IF(ISNUMBER(Tabella2[[#This Row],[Amplitute SHEAR stress  (MPa)]]), IF(AND(ISNUMBER(Tabella2[[#This Row],[Amplitute SHEAR stress  (MPa)]]), ISNUMBER(Tabella2[[#This Row],[Torsional moment of inertia (mm^4)]]), ISNUMBER(Tabella2[[#This Row],[Diameter (mm)]])),Tabella2[[#This Row],[Amplitute SHEAR stress  (MPa)]]*Tabella2[[#This Row],[Torsional moment of inertia (mm^4)]]/(0.5*Tabella2[[#This Row],[Diameter (mm)]]),"Null"), "")</f>
        <v>Null</v>
      </c>
      <c r="AP62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62" s="4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150</v>
      </c>
    </row>
    <row r="63" spans="1:43" customFormat="1" ht="20" customHeight="1" x14ac:dyDescent="0.2">
      <c r="A63" s="1" t="s">
        <v>94</v>
      </c>
      <c r="B63" s="1">
        <v>2024</v>
      </c>
      <c r="C63" s="1" t="s">
        <v>97</v>
      </c>
      <c r="D63" s="1" t="s">
        <v>133</v>
      </c>
      <c r="E63" s="28">
        <v>660562</v>
      </c>
      <c r="F63" s="1" t="s">
        <v>20</v>
      </c>
      <c r="G63" s="21" t="s">
        <v>99</v>
      </c>
      <c r="H63" s="1" t="e" vm="6">
        <v>#VALUE!</v>
      </c>
      <c r="I63" s="1" t="s">
        <v>158</v>
      </c>
      <c r="J63" s="1" t="s">
        <v>32</v>
      </c>
      <c r="K63" s="1">
        <v>6</v>
      </c>
      <c r="L63" s="1">
        <v>4</v>
      </c>
      <c r="M63" s="1" t="s">
        <v>21</v>
      </c>
      <c r="N63" s="1" t="s">
        <v>21</v>
      </c>
      <c r="O63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24</v>
      </c>
      <c r="P63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32</v>
      </c>
      <c r="Q63" s="24" t="str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Cannot be calculated</v>
      </c>
      <c r="R63" s="1">
        <v>0</v>
      </c>
      <c r="S63" s="1">
        <v>0</v>
      </c>
      <c r="T63" s="1">
        <v>0</v>
      </c>
      <c r="U63" s="28">
        <v>8</v>
      </c>
      <c r="V63" s="28">
        <v>8</v>
      </c>
      <c r="W63" s="28">
        <v>8</v>
      </c>
      <c r="X63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63" s="1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</v>
      </c>
      <c r="Z63" s="1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63" s="49">
        <v>0</v>
      </c>
      <c r="AB63" s="29">
        <v>0</v>
      </c>
      <c r="AC63" s="14">
        <v>129</v>
      </c>
      <c r="AD63" s="29">
        <v>129</v>
      </c>
      <c r="AE63" s="33" t="s">
        <v>58</v>
      </c>
      <c r="AF63" s="29">
        <v>0</v>
      </c>
      <c r="AG63" s="23">
        <v>0</v>
      </c>
      <c r="AH63" s="29">
        <f>IF(ISNUMBER(Tabella2[[#This Row],[Mean RADIAL stress  (MPa)]]), Tabella2[[#This Row],[Mean RADIAL stress  (MPa)]],"")</f>
        <v>0</v>
      </c>
      <c r="AI63" s="29">
        <f>IF(ISNUMBER(Tabella2[[#This Row],[Amplitute RADIAL stress  (MPa)]]), Tabella2[[#This Row],[Amplitute RADIAL stress  (MPa)]],"")</f>
        <v>0</v>
      </c>
      <c r="AJ63" s="29">
        <f>IF(ISNUMBER(Tabella2[[#This Row],[Mean AXIAL stress  (MPa)]]), IF(Tabella2[[#This Row],[derived from (AXIAL/BENDING) load]]="AXIAL",Tabella2[[#This Row],[Mean AXIAL stress  (MPa)]]*Tabella2[[#This Row],[Area (mm^2)]],"Null"), "")</f>
        <v>3096</v>
      </c>
      <c r="AK63" s="29">
        <f>IF(ISNUMBER(Tabella2[[#This Row],[Amplitute AXIAL stress  (MPa)]]),    IF(Tabella2[[#This Row],[derived from (AXIAL/BENDING) load]]="AXIAL",Tabella2[[#This Row],[Amplitute AXIAL stress  (MPa)]]*Tabella2[[#This Row],[Area (mm^2)]],"Null"), "")</f>
        <v>3096</v>
      </c>
      <c r="AL63" s="29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Row],[Bending moment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Row],[Bending moment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Row],[Bending moment of inertia (mm^4)]]/(Tabella2[[#This Row],[B (mm)]]*0.5),"Null"))),"")</f>
        <v>Null</v>
      </c>
      <c r="AM63" s="29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Row],[Bending moment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Row],[Bending moment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Row],[Bending moment of inertia (mm^4)]]/(Tabella2[[#This Row],[B (mm)]]*0.5),"Null"))), "")</f>
        <v>Null</v>
      </c>
      <c r="AN63" s="29" t="str">
        <f>IF(ISNUMBER(Tabella2[[#This Row],[Mean SHEAR stress  (MPa)]]),  IF(AND(ISNUMBER(Tabella2[[#This Row],[Mean SHEAR stress  (MPa)]]), ISNUMBER(Tabella2[[#This Row],[Torsional moment of inertia (mm^4)]]), ISNUMBER(Tabella2[[#This Row],[Diameter (mm)]])), Tabella2[[#This Row],[Mean SHEAR stress  (MPa)]]*Tabella2[[#This Row],[Torsional moment of inertia (mm^4)]]/(0.5*Tabella2[[#This Row],[Diameter (mm)]]),"Null"), " ")</f>
        <v>Null</v>
      </c>
      <c r="AO63" s="23" t="str">
        <f>IF(ISNUMBER(Tabella2[[#This Row],[Amplitute SHEAR stress  (MPa)]]), IF(AND(ISNUMBER(Tabella2[[#This Row],[Amplitute SHEAR stress  (MPa)]]), ISNUMBER(Tabella2[[#This Row],[Torsional moment of inertia (mm^4)]]), ISNUMBER(Tabella2[[#This Row],[Diameter (mm)]])),Tabella2[[#This Row],[Amplitute SHEAR stress  (MPa)]]*Tabella2[[#This Row],[Torsional moment of inertia (mm^4)]]/(0.5*Tabella2[[#This Row],[Diameter (mm)]]),"Null"), "")</f>
        <v>Null</v>
      </c>
      <c r="AP63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63" s="4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129</v>
      </c>
    </row>
    <row r="64" spans="1:43" customFormat="1" ht="20" customHeight="1" x14ac:dyDescent="0.2">
      <c r="A64" s="1" t="s">
        <v>94</v>
      </c>
      <c r="B64" s="1">
        <v>2024</v>
      </c>
      <c r="C64" s="1" t="s">
        <v>97</v>
      </c>
      <c r="D64" s="1" t="s">
        <v>134</v>
      </c>
      <c r="E64" s="28">
        <v>2134445</v>
      </c>
      <c r="F64" s="1" t="s">
        <v>32</v>
      </c>
      <c r="G64" s="21" t="s">
        <v>99</v>
      </c>
      <c r="H64" s="1" t="e" vm="6">
        <v>#VALUE!</v>
      </c>
      <c r="I64" s="1" t="s">
        <v>158</v>
      </c>
      <c r="J64" s="1" t="s">
        <v>32</v>
      </c>
      <c r="K64" s="1">
        <v>6</v>
      </c>
      <c r="L64" s="1">
        <v>4</v>
      </c>
      <c r="M64" s="1" t="s">
        <v>21</v>
      </c>
      <c r="N64" s="1" t="s">
        <v>21</v>
      </c>
      <c r="O64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24</v>
      </c>
      <c r="P64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32</v>
      </c>
      <c r="Q64" s="24" t="str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Cannot be calculated</v>
      </c>
      <c r="R64" s="1">
        <v>0</v>
      </c>
      <c r="S64" s="1">
        <v>0</v>
      </c>
      <c r="T64" s="1">
        <v>0</v>
      </c>
      <c r="U64" s="28">
        <v>8</v>
      </c>
      <c r="V64" s="28">
        <v>8</v>
      </c>
      <c r="W64" s="28">
        <v>8</v>
      </c>
      <c r="X64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64" s="1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</v>
      </c>
      <c r="Z64" s="1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64" s="49">
        <v>0</v>
      </c>
      <c r="AB64" s="29">
        <v>0</v>
      </c>
      <c r="AC64" s="14">
        <v>121</v>
      </c>
      <c r="AD64" s="29">
        <v>121</v>
      </c>
      <c r="AE64" s="33" t="s">
        <v>58</v>
      </c>
      <c r="AF64" s="29">
        <v>0</v>
      </c>
      <c r="AG64" s="23">
        <v>0</v>
      </c>
      <c r="AH64" s="29">
        <f>IF(ISNUMBER(Tabella2[[#This Row],[Mean RADIAL stress  (MPa)]]), Tabella2[[#This Row],[Mean RADIAL stress  (MPa)]],"")</f>
        <v>0</v>
      </c>
      <c r="AI64" s="29">
        <f>IF(ISNUMBER(Tabella2[[#This Row],[Amplitute RADIAL stress  (MPa)]]), Tabella2[[#This Row],[Amplitute RADIAL stress  (MPa)]],"")</f>
        <v>0</v>
      </c>
      <c r="AJ64" s="29">
        <f>IF(ISNUMBER(Tabella2[[#This Row],[Mean AXIAL stress  (MPa)]]), IF(Tabella2[[#This Row],[derived from (AXIAL/BENDING) load]]="AXIAL",Tabella2[[#This Row],[Mean AXIAL stress  (MPa)]]*Tabella2[[#This Row],[Area (mm^2)]],"Null"), "")</f>
        <v>2904</v>
      </c>
      <c r="AK64" s="29">
        <f>IF(ISNUMBER(Tabella2[[#This Row],[Amplitute AXIAL stress  (MPa)]]),    IF(Tabella2[[#This Row],[derived from (AXIAL/BENDING) load]]="AXIAL",Tabella2[[#This Row],[Amplitute AXIAL stress  (MPa)]]*Tabella2[[#This Row],[Area (mm^2)]],"Null"), "")</f>
        <v>2904</v>
      </c>
      <c r="AL64" s="29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Row],[Bending moment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Row],[Bending moment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Row],[Bending moment of inertia (mm^4)]]/(Tabella2[[#This Row],[B (mm)]]*0.5),"Null"))),"")</f>
        <v>Null</v>
      </c>
      <c r="AM64" s="29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Row],[Bending moment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Row],[Bending moment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Row],[Bending moment of inertia (mm^4)]]/(Tabella2[[#This Row],[B (mm)]]*0.5),"Null"))), "")</f>
        <v>Null</v>
      </c>
      <c r="AN64" s="29" t="str">
        <f>IF(ISNUMBER(Tabella2[[#This Row],[Mean SHEAR stress  (MPa)]]),  IF(AND(ISNUMBER(Tabella2[[#This Row],[Mean SHEAR stress  (MPa)]]), ISNUMBER(Tabella2[[#This Row],[Torsional moment of inertia (mm^4)]]), ISNUMBER(Tabella2[[#This Row],[Diameter (mm)]])), Tabella2[[#This Row],[Mean SHEAR stress  (MPa)]]*Tabella2[[#This Row],[Torsional moment of inertia (mm^4)]]/(0.5*Tabella2[[#This Row],[Diameter (mm)]]),"Null"), " ")</f>
        <v>Null</v>
      </c>
      <c r="AO64" s="23" t="str">
        <f>IF(ISNUMBER(Tabella2[[#This Row],[Amplitute SHEAR stress  (MPa)]]), IF(AND(ISNUMBER(Tabella2[[#This Row],[Amplitute SHEAR stress  (MPa)]]), ISNUMBER(Tabella2[[#This Row],[Torsional moment of inertia (mm^4)]]), ISNUMBER(Tabella2[[#This Row],[Diameter (mm)]])),Tabella2[[#This Row],[Amplitute SHEAR stress  (MPa)]]*Tabella2[[#This Row],[Torsional moment of inertia (mm^4)]]/(0.5*Tabella2[[#This Row],[Diameter (mm)]]),"Null"), "")</f>
        <v>Null</v>
      </c>
      <c r="AP64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64" s="4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121</v>
      </c>
    </row>
    <row r="65" spans="1:43" ht="20" customHeight="1" x14ac:dyDescent="0.2">
      <c r="A65" s="1" t="s">
        <v>94</v>
      </c>
      <c r="B65" s="1">
        <v>2024</v>
      </c>
      <c r="C65" s="1" t="s">
        <v>97</v>
      </c>
      <c r="D65" s="1" t="s">
        <v>135</v>
      </c>
      <c r="E65" s="28">
        <v>2366590</v>
      </c>
      <c r="F65" s="1" t="s">
        <v>32</v>
      </c>
      <c r="G65" s="21" t="s">
        <v>99</v>
      </c>
      <c r="H65" s="1" t="e" vm="6">
        <v>#VALUE!</v>
      </c>
      <c r="I65" s="1" t="s">
        <v>158</v>
      </c>
      <c r="J65" s="1" t="s">
        <v>32</v>
      </c>
      <c r="K65" s="1">
        <v>6</v>
      </c>
      <c r="L65" s="1">
        <v>4</v>
      </c>
      <c r="M65" s="1" t="s">
        <v>21</v>
      </c>
      <c r="N65" s="1" t="s">
        <v>21</v>
      </c>
      <c r="O65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24</v>
      </c>
      <c r="P65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32</v>
      </c>
      <c r="Q65" s="24" t="str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Cannot be calculated</v>
      </c>
      <c r="R65" s="1">
        <v>0</v>
      </c>
      <c r="S65" s="1">
        <v>0</v>
      </c>
      <c r="T65" s="1">
        <v>0</v>
      </c>
      <c r="U65" s="28">
        <v>8</v>
      </c>
      <c r="V65" s="28">
        <v>8</v>
      </c>
      <c r="W65" s="28">
        <v>8</v>
      </c>
      <c r="X65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65" s="1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</v>
      </c>
      <c r="Z65" s="1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65" s="49">
        <v>0</v>
      </c>
      <c r="AB65" s="29">
        <v>0</v>
      </c>
      <c r="AC65" s="14">
        <v>137.5</v>
      </c>
      <c r="AD65" s="29">
        <v>137.5</v>
      </c>
      <c r="AE65" s="33" t="s">
        <v>58</v>
      </c>
      <c r="AF65" s="29">
        <v>0</v>
      </c>
      <c r="AG65" s="23">
        <v>0</v>
      </c>
      <c r="AH65" s="29">
        <f>IF(ISNUMBER(Tabella2[[#This Row],[Mean RADIAL stress  (MPa)]]), Tabella2[[#This Row],[Mean RADIAL stress  (MPa)]],"")</f>
        <v>0</v>
      </c>
      <c r="AI65" s="29">
        <f>IF(ISNUMBER(Tabella2[[#This Row],[Amplitute RADIAL stress  (MPa)]]), Tabella2[[#This Row],[Amplitute RADIAL stress  (MPa)]],"")</f>
        <v>0</v>
      </c>
      <c r="AJ65" s="29">
        <f>IF(ISNUMBER(Tabella2[[#This Row],[Mean AXIAL stress  (MPa)]]), IF(Tabella2[[#This Row],[derived from (AXIAL/BENDING) load]]="AXIAL",Tabella2[[#This Row],[Mean AXIAL stress  (MPa)]]*Tabella2[[#This Row],[Area (mm^2)]],"Null"), "")</f>
        <v>3300</v>
      </c>
      <c r="AK65" s="29">
        <f>IF(ISNUMBER(Tabella2[[#This Row],[Amplitute AXIAL stress  (MPa)]]),    IF(Tabella2[[#This Row],[derived from (AXIAL/BENDING) load]]="AXIAL",Tabella2[[#This Row],[Amplitute AXIAL stress  (MPa)]]*Tabella2[[#This Row],[Area (mm^2)]],"Null"), "")</f>
        <v>3300</v>
      </c>
      <c r="AL65" s="29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Row],[Bending moment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Row],[Bending moment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Row],[Bending moment of inertia (mm^4)]]/(Tabella2[[#This Row],[B (mm)]]*0.5),"Null"))),"")</f>
        <v>Null</v>
      </c>
      <c r="AM65" s="29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Row],[Bending moment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Row],[Bending moment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Row],[Bending moment of inertia (mm^4)]]/(Tabella2[[#This Row],[B (mm)]]*0.5),"Null"))), "")</f>
        <v>Null</v>
      </c>
      <c r="AN65" s="29" t="str">
        <f>IF(ISNUMBER(Tabella2[[#This Row],[Mean SHEAR stress  (MPa)]]),  IF(AND(ISNUMBER(Tabella2[[#This Row],[Mean SHEAR stress  (MPa)]]), ISNUMBER(Tabella2[[#This Row],[Torsional moment of inertia (mm^4)]]), ISNUMBER(Tabella2[[#This Row],[Diameter (mm)]])), Tabella2[[#This Row],[Mean SHEAR stress  (MPa)]]*Tabella2[[#This Row],[Torsional moment of inertia (mm^4)]]/(0.5*Tabella2[[#This Row],[Diameter (mm)]]),"Null"), " ")</f>
        <v>Null</v>
      </c>
      <c r="AO65" s="23" t="str">
        <f>IF(ISNUMBER(Tabella2[[#This Row],[Amplitute SHEAR stress  (MPa)]]), IF(AND(ISNUMBER(Tabella2[[#This Row],[Amplitute SHEAR stress  (MPa)]]), ISNUMBER(Tabella2[[#This Row],[Torsional moment of inertia (mm^4)]]), ISNUMBER(Tabella2[[#This Row],[Diameter (mm)]])),Tabella2[[#This Row],[Amplitute SHEAR stress  (MPa)]]*Tabella2[[#This Row],[Torsional moment of inertia (mm^4)]]/(0.5*Tabella2[[#This Row],[Diameter (mm)]]),"Null"), "")</f>
        <v>Null</v>
      </c>
      <c r="AP65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65" s="4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137.5</v>
      </c>
    </row>
    <row r="66" spans="1:43" ht="20" customHeight="1" x14ac:dyDescent="0.2">
      <c r="A66" s="1" t="s">
        <v>94</v>
      </c>
      <c r="B66" s="1">
        <v>2024</v>
      </c>
      <c r="C66" s="1" t="s">
        <v>97</v>
      </c>
      <c r="D66" s="1" t="s">
        <v>136</v>
      </c>
      <c r="E66" s="28">
        <v>2400000</v>
      </c>
      <c r="F66" s="1" t="s">
        <v>32</v>
      </c>
      <c r="G66" s="21" t="s">
        <v>99</v>
      </c>
      <c r="H66" s="1" t="e" vm="6">
        <v>#VALUE!</v>
      </c>
      <c r="I66" s="1" t="s">
        <v>158</v>
      </c>
      <c r="J66" s="1" t="s">
        <v>32</v>
      </c>
      <c r="K66" s="1">
        <v>6</v>
      </c>
      <c r="L66" s="1">
        <v>4</v>
      </c>
      <c r="M66" s="1" t="s">
        <v>21</v>
      </c>
      <c r="N66" s="1" t="s">
        <v>21</v>
      </c>
      <c r="O66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24</v>
      </c>
      <c r="P66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32</v>
      </c>
      <c r="Q66" s="24" t="str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Cannot be calculated</v>
      </c>
      <c r="R66" s="1">
        <v>0</v>
      </c>
      <c r="S66" s="1">
        <v>0</v>
      </c>
      <c r="T66" s="1">
        <v>0</v>
      </c>
      <c r="U66" s="28">
        <v>8</v>
      </c>
      <c r="V66" s="28">
        <v>8</v>
      </c>
      <c r="W66" s="28">
        <v>8</v>
      </c>
      <c r="X66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66" s="1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</v>
      </c>
      <c r="Z66" s="1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66" s="49">
        <v>0</v>
      </c>
      <c r="AB66" s="29">
        <v>0</v>
      </c>
      <c r="AC66" s="14">
        <v>133.5</v>
      </c>
      <c r="AD66" s="29">
        <v>133.5</v>
      </c>
      <c r="AE66" s="33" t="s">
        <v>58</v>
      </c>
      <c r="AF66" s="29">
        <v>0</v>
      </c>
      <c r="AG66" s="23">
        <v>0</v>
      </c>
      <c r="AH66" s="29">
        <f>IF(ISNUMBER(Tabella2[[#This Row],[Mean RADIAL stress  (MPa)]]), Tabella2[[#This Row],[Mean RADIAL stress  (MPa)]],"")</f>
        <v>0</v>
      </c>
      <c r="AI66" s="29">
        <f>IF(ISNUMBER(Tabella2[[#This Row],[Amplitute RADIAL stress  (MPa)]]), Tabella2[[#This Row],[Amplitute RADIAL stress  (MPa)]],"")</f>
        <v>0</v>
      </c>
      <c r="AJ66" s="29">
        <f>IF(ISNUMBER(Tabella2[[#This Row],[Mean AXIAL stress  (MPa)]]), IF(Tabella2[[#This Row],[derived from (AXIAL/BENDING) load]]="AXIAL",Tabella2[[#This Row],[Mean AXIAL stress  (MPa)]]*Tabella2[[#This Row],[Area (mm^2)]],"Null"), "")</f>
        <v>3204</v>
      </c>
      <c r="AK66" s="29">
        <f>IF(ISNUMBER(Tabella2[[#This Row],[Amplitute AXIAL stress  (MPa)]]),    IF(Tabella2[[#This Row],[derived from (AXIAL/BENDING) load]]="AXIAL",Tabella2[[#This Row],[Amplitute AXIAL stress  (MPa)]]*Tabella2[[#This Row],[Area (mm^2)]],"Null"), "")</f>
        <v>3204</v>
      </c>
      <c r="AL66" s="29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Row],[Bending moment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Row],[Bending moment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Row],[Bending moment of inertia (mm^4)]]/(Tabella2[[#This Row],[B (mm)]]*0.5),"Null"))),"")</f>
        <v>Null</v>
      </c>
      <c r="AM66" s="29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Row],[Bending moment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Row],[Bending moment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Row],[Bending moment of inertia (mm^4)]]/(Tabella2[[#This Row],[B (mm)]]*0.5),"Null"))), "")</f>
        <v>Null</v>
      </c>
      <c r="AN66" s="29" t="str">
        <f>IF(ISNUMBER(Tabella2[[#This Row],[Mean SHEAR stress  (MPa)]]),  IF(AND(ISNUMBER(Tabella2[[#This Row],[Mean SHEAR stress  (MPa)]]), ISNUMBER(Tabella2[[#This Row],[Torsional moment of inertia (mm^4)]]), ISNUMBER(Tabella2[[#This Row],[Diameter (mm)]])), Tabella2[[#This Row],[Mean SHEAR stress  (MPa)]]*Tabella2[[#This Row],[Torsional moment of inertia (mm^4)]]/(0.5*Tabella2[[#This Row],[Diameter (mm)]]),"Null"), " ")</f>
        <v>Null</v>
      </c>
      <c r="AO66" s="23" t="str">
        <f>IF(ISNUMBER(Tabella2[[#This Row],[Amplitute SHEAR stress  (MPa)]]), IF(AND(ISNUMBER(Tabella2[[#This Row],[Amplitute SHEAR stress  (MPa)]]), ISNUMBER(Tabella2[[#This Row],[Torsional moment of inertia (mm^4)]]), ISNUMBER(Tabella2[[#This Row],[Diameter (mm)]])),Tabella2[[#This Row],[Amplitute SHEAR stress  (MPa)]]*Tabella2[[#This Row],[Torsional moment of inertia (mm^4)]]/(0.5*Tabella2[[#This Row],[Diameter (mm)]]),"Null"), "")</f>
        <v>Null</v>
      </c>
      <c r="AP66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66" s="4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133.5</v>
      </c>
    </row>
    <row r="67" spans="1:43" ht="20" customHeight="1" x14ac:dyDescent="0.2">
      <c r="A67" s="1" t="s">
        <v>94</v>
      </c>
      <c r="B67" s="1">
        <v>2024</v>
      </c>
      <c r="C67" s="1" t="s">
        <v>97</v>
      </c>
      <c r="D67" s="1" t="s">
        <v>137</v>
      </c>
      <c r="E67" s="28">
        <v>2596329</v>
      </c>
      <c r="F67" s="1" t="s">
        <v>32</v>
      </c>
      <c r="G67" s="21" t="s">
        <v>99</v>
      </c>
      <c r="H67" s="1" t="e" vm="6">
        <v>#VALUE!</v>
      </c>
      <c r="I67" s="1" t="s">
        <v>158</v>
      </c>
      <c r="J67" s="1" t="s">
        <v>32</v>
      </c>
      <c r="K67" s="1">
        <v>6</v>
      </c>
      <c r="L67" s="1">
        <v>4</v>
      </c>
      <c r="M67" s="1" t="s">
        <v>21</v>
      </c>
      <c r="N67" s="1" t="s">
        <v>21</v>
      </c>
      <c r="O67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24</v>
      </c>
      <c r="P67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32</v>
      </c>
      <c r="Q67" s="24" t="str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Cannot be calculated</v>
      </c>
      <c r="R67" s="1">
        <v>0</v>
      </c>
      <c r="S67" s="1">
        <v>0</v>
      </c>
      <c r="T67" s="1">
        <v>0</v>
      </c>
      <c r="U67" s="28">
        <v>8</v>
      </c>
      <c r="V67" s="28">
        <v>8</v>
      </c>
      <c r="W67" s="28">
        <v>8</v>
      </c>
      <c r="X67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67" s="1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</v>
      </c>
      <c r="Z67" s="1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67" s="49">
        <v>0</v>
      </c>
      <c r="AB67" s="29">
        <v>0</v>
      </c>
      <c r="AC67" s="14">
        <v>129</v>
      </c>
      <c r="AD67" s="29">
        <v>129</v>
      </c>
      <c r="AE67" s="33" t="s">
        <v>58</v>
      </c>
      <c r="AF67" s="29">
        <v>0</v>
      </c>
      <c r="AG67" s="23">
        <v>0</v>
      </c>
      <c r="AH67" s="29">
        <f>IF(ISNUMBER(Tabella2[[#This Row],[Mean RADIAL stress  (MPa)]]), Tabella2[[#This Row],[Mean RADIAL stress  (MPa)]],"")</f>
        <v>0</v>
      </c>
      <c r="AI67" s="29">
        <f>IF(ISNUMBER(Tabella2[[#This Row],[Amplitute RADIAL stress  (MPa)]]), Tabella2[[#This Row],[Amplitute RADIAL stress  (MPa)]],"")</f>
        <v>0</v>
      </c>
      <c r="AJ67" s="29">
        <f>IF(ISNUMBER(Tabella2[[#This Row],[Mean AXIAL stress  (MPa)]]), IF(Tabella2[[#This Row],[derived from (AXIAL/BENDING) load]]="AXIAL",Tabella2[[#This Row],[Mean AXIAL stress  (MPa)]]*Tabella2[[#This Row],[Area (mm^2)]],"Null"), "")</f>
        <v>3096</v>
      </c>
      <c r="AK67" s="29">
        <f>IF(ISNUMBER(Tabella2[[#This Row],[Amplitute AXIAL stress  (MPa)]]),    IF(Tabella2[[#This Row],[derived from (AXIAL/BENDING) load]]="AXIAL",Tabella2[[#This Row],[Amplitute AXIAL stress  (MPa)]]*Tabella2[[#This Row],[Area (mm^2)]],"Null"), "")</f>
        <v>3096</v>
      </c>
      <c r="AL67" s="29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Row],[Bending moment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Row],[Bending moment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Row],[Bending moment of inertia (mm^4)]]/(Tabella2[[#This Row],[B (mm)]]*0.5),"Null"))),"")</f>
        <v>Null</v>
      </c>
      <c r="AM67" s="29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Row],[Bending moment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Row],[Bending moment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Row],[Bending moment of inertia (mm^4)]]/(Tabella2[[#This Row],[B (mm)]]*0.5),"Null"))), "")</f>
        <v>Null</v>
      </c>
      <c r="AN67" s="29" t="str">
        <f>IF(ISNUMBER(Tabella2[[#This Row],[Mean SHEAR stress  (MPa)]]),  IF(AND(ISNUMBER(Tabella2[[#This Row],[Mean SHEAR stress  (MPa)]]), ISNUMBER(Tabella2[[#This Row],[Torsional moment of inertia (mm^4)]]), ISNUMBER(Tabella2[[#This Row],[Diameter (mm)]])), Tabella2[[#This Row],[Mean SHEAR stress  (MPa)]]*Tabella2[[#This Row],[Torsional moment of inertia (mm^4)]]/(0.5*Tabella2[[#This Row],[Diameter (mm)]]),"Null"), " ")</f>
        <v>Null</v>
      </c>
      <c r="AO67" s="23" t="str">
        <f>IF(ISNUMBER(Tabella2[[#This Row],[Amplitute SHEAR stress  (MPa)]]), IF(AND(ISNUMBER(Tabella2[[#This Row],[Amplitute SHEAR stress  (MPa)]]), ISNUMBER(Tabella2[[#This Row],[Torsional moment of inertia (mm^4)]]), ISNUMBER(Tabella2[[#This Row],[Diameter (mm)]])),Tabella2[[#This Row],[Amplitute SHEAR stress  (MPa)]]*Tabella2[[#This Row],[Torsional moment of inertia (mm^4)]]/(0.5*Tabella2[[#This Row],[Diameter (mm)]]),"Null"), "")</f>
        <v>Null</v>
      </c>
      <c r="AP67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67" s="4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129</v>
      </c>
    </row>
    <row r="68" spans="1:43" ht="20" customHeight="1" x14ac:dyDescent="0.2">
      <c r="A68" s="1" t="s">
        <v>94</v>
      </c>
      <c r="B68" s="1">
        <v>2024</v>
      </c>
      <c r="C68" s="1" t="s">
        <v>97</v>
      </c>
      <c r="D68" s="1" t="s">
        <v>138</v>
      </c>
      <c r="E68" s="28">
        <v>2676338</v>
      </c>
      <c r="F68" s="1" t="s">
        <v>32</v>
      </c>
      <c r="G68" s="21" t="s">
        <v>99</v>
      </c>
      <c r="H68" s="1" t="e" vm="6">
        <v>#VALUE!</v>
      </c>
      <c r="I68" s="1" t="s">
        <v>158</v>
      </c>
      <c r="J68" s="1" t="s">
        <v>32</v>
      </c>
      <c r="K68" s="1">
        <v>6</v>
      </c>
      <c r="L68" s="1">
        <v>4</v>
      </c>
      <c r="M68" s="1" t="s">
        <v>21</v>
      </c>
      <c r="N68" s="1" t="s">
        <v>21</v>
      </c>
      <c r="O68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24</v>
      </c>
      <c r="P68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32</v>
      </c>
      <c r="Q68" s="24" t="str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Cannot be calculated</v>
      </c>
      <c r="R68" s="1">
        <v>0</v>
      </c>
      <c r="S68" s="1">
        <v>0</v>
      </c>
      <c r="T68" s="1">
        <v>0</v>
      </c>
      <c r="U68" s="28">
        <v>8</v>
      </c>
      <c r="V68" s="28">
        <v>8</v>
      </c>
      <c r="W68" s="28">
        <v>8</v>
      </c>
      <c r="X68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68" s="1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</v>
      </c>
      <c r="Z68" s="1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68" s="49">
        <v>0</v>
      </c>
      <c r="AB68" s="29">
        <v>0</v>
      </c>
      <c r="AC68" s="14">
        <v>125</v>
      </c>
      <c r="AD68" s="29">
        <v>125</v>
      </c>
      <c r="AE68" s="33" t="s">
        <v>58</v>
      </c>
      <c r="AF68" s="29">
        <v>0</v>
      </c>
      <c r="AG68" s="23">
        <v>0</v>
      </c>
      <c r="AH68" s="29">
        <f>IF(ISNUMBER(Tabella2[[#This Row],[Mean RADIAL stress  (MPa)]]), Tabella2[[#This Row],[Mean RADIAL stress  (MPa)]],"")</f>
        <v>0</v>
      </c>
      <c r="AI68" s="29">
        <f>IF(ISNUMBER(Tabella2[[#This Row],[Amplitute RADIAL stress  (MPa)]]), Tabella2[[#This Row],[Amplitute RADIAL stress  (MPa)]],"")</f>
        <v>0</v>
      </c>
      <c r="AJ68" s="29">
        <f>IF(ISNUMBER(Tabella2[[#This Row],[Mean AXIAL stress  (MPa)]]), IF(Tabella2[[#This Row],[derived from (AXIAL/BENDING) load]]="AXIAL",Tabella2[[#This Row],[Mean AXIAL stress  (MPa)]]*Tabella2[[#This Row],[Area (mm^2)]],"Null"), "")</f>
        <v>3000</v>
      </c>
      <c r="AK68" s="29">
        <f>IF(ISNUMBER(Tabella2[[#This Row],[Amplitute AXIAL stress  (MPa)]]),    IF(Tabella2[[#This Row],[derived from (AXIAL/BENDING) load]]="AXIAL",Tabella2[[#This Row],[Amplitute AXIAL stress  (MPa)]]*Tabella2[[#This Row],[Area (mm^2)]],"Null"), "")</f>
        <v>3000</v>
      </c>
      <c r="AL68" s="29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Row],[Bending moment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Row],[Bending moment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Row],[Bending moment of inertia (mm^4)]]/(Tabella2[[#This Row],[B (mm)]]*0.5),"Null"))),"")</f>
        <v>Null</v>
      </c>
      <c r="AM68" s="29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Row],[Bending moment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Row],[Bending moment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Row],[Bending moment of inertia (mm^4)]]/(Tabella2[[#This Row],[B (mm)]]*0.5),"Null"))), "")</f>
        <v>Null</v>
      </c>
      <c r="AN68" s="29" t="str">
        <f>IF(ISNUMBER(Tabella2[[#This Row],[Mean SHEAR stress  (MPa)]]),  IF(AND(ISNUMBER(Tabella2[[#This Row],[Mean SHEAR stress  (MPa)]]), ISNUMBER(Tabella2[[#This Row],[Torsional moment of inertia (mm^4)]]), ISNUMBER(Tabella2[[#This Row],[Diameter (mm)]])), Tabella2[[#This Row],[Mean SHEAR stress  (MPa)]]*Tabella2[[#This Row],[Torsional moment of inertia (mm^4)]]/(0.5*Tabella2[[#This Row],[Diameter (mm)]]),"Null"), " ")</f>
        <v>Null</v>
      </c>
      <c r="AO68" s="23" t="str">
        <f>IF(ISNUMBER(Tabella2[[#This Row],[Amplitute SHEAR stress  (MPa)]]), IF(AND(ISNUMBER(Tabella2[[#This Row],[Amplitute SHEAR stress  (MPa)]]), ISNUMBER(Tabella2[[#This Row],[Torsional moment of inertia (mm^4)]]), ISNUMBER(Tabella2[[#This Row],[Diameter (mm)]])),Tabella2[[#This Row],[Amplitute SHEAR stress  (MPa)]]*Tabella2[[#This Row],[Torsional moment of inertia (mm^4)]]/(0.5*Tabella2[[#This Row],[Diameter (mm)]]),"Null"), "")</f>
        <v>Null</v>
      </c>
      <c r="AP68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68" s="4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125</v>
      </c>
    </row>
    <row r="69" spans="1:43" ht="20" customHeight="1" x14ac:dyDescent="0.2">
      <c r="A69" s="1" t="s">
        <v>94</v>
      </c>
      <c r="B69" s="1">
        <v>2024</v>
      </c>
      <c r="C69" s="1" t="s">
        <v>97</v>
      </c>
      <c r="D69" s="1" t="s">
        <v>139</v>
      </c>
      <c r="E69" s="28">
        <v>3456187</v>
      </c>
      <c r="F69" s="1" t="s">
        <v>32</v>
      </c>
      <c r="G69" s="21" t="s">
        <v>99</v>
      </c>
      <c r="H69" s="1" t="e" vm="6">
        <v>#VALUE!</v>
      </c>
      <c r="I69" s="1" t="s">
        <v>158</v>
      </c>
      <c r="J69" s="1" t="s">
        <v>32</v>
      </c>
      <c r="K69" s="1">
        <v>6</v>
      </c>
      <c r="L69" s="1">
        <v>4</v>
      </c>
      <c r="M69" s="1" t="s">
        <v>21</v>
      </c>
      <c r="N69" s="1" t="s">
        <v>21</v>
      </c>
      <c r="O69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24</v>
      </c>
      <c r="P69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32</v>
      </c>
      <c r="Q69" s="24" t="str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Cannot be calculated</v>
      </c>
      <c r="R69" s="1">
        <v>0</v>
      </c>
      <c r="S69" s="1">
        <v>0</v>
      </c>
      <c r="T69" s="1">
        <v>0</v>
      </c>
      <c r="U69" s="28">
        <v>8</v>
      </c>
      <c r="V69" s="28">
        <v>8</v>
      </c>
      <c r="W69" s="28">
        <v>8</v>
      </c>
      <c r="X69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69" s="1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</v>
      </c>
      <c r="Z69" s="1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69" s="49">
        <v>0</v>
      </c>
      <c r="AB69" s="29">
        <v>0</v>
      </c>
      <c r="AC69" s="14">
        <v>125</v>
      </c>
      <c r="AD69" s="29">
        <v>125</v>
      </c>
      <c r="AE69" s="33" t="s">
        <v>58</v>
      </c>
      <c r="AF69" s="29">
        <v>0</v>
      </c>
      <c r="AG69" s="23">
        <v>0</v>
      </c>
      <c r="AH69" s="29">
        <f>IF(ISNUMBER(Tabella2[[#This Row],[Mean RADIAL stress  (MPa)]]), Tabella2[[#This Row],[Mean RADIAL stress  (MPa)]],"")</f>
        <v>0</v>
      </c>
      <c r="AI69" s="29">
        <f>IF(ISNUMBER(Tabella2[[#This Row],[Amplitute RADIAL stress  (MPa)]]), Tabella2[[#This Row],[Amplitute RADIAL stress  (MPa)]],"")</f>
        <v>0</v>
      </c>
      <c r="AJ69" s="29">
        <f>IF(ISNUMBER(Tabella2[[#This Row],[Mean AXIAL stress  (MPa)]]), IF(Tabella2[[#This Row],[derived from (AXIAL/BENDING) load]]="AXIAL",Tabella2[[#This Row],[Mean AXIAL stress  (MPa)]]*Tabella2[[#This Row],[Area (mm^2)]],"Null"), "")</f>
        <v>3000</v>
      </c>
      <c r="AK69" s="29">
        <f>IF(ISNUMBER(Tabella2[[#This Row],[Amplitute AXIAL stress  (MPa)]]),    IF(Tabella2[[#This Row],[derived from (AXIAL/BENDING) load]]="AXIAL",Tabella2[[#This Row],[Amplitute AXIAL stress  (MPa)]]*Tabella2[[#This Row],[Area (mm^2)]],"Null"), "")</f>
        <v>3000</v>
      </c>
      <c r="AL69" s="29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Row],[Bending moment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Row],[Bending moment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Row],[Bending moment of inertia (mm^4)]]/(Tabella2[[#This Row],[B (mm)]]*0.5),"Null"))),"")</f>
        <v>Null</v>
      </c>
      <c r="AM69" s="29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Row],[Bending moment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Row],[Bending moment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Row],[Bending moment of inertia (mm^4)]]/(Tabella2[[#This Row],[B (mm)]]*0.5),"Null"))), "")</f>
        <v>Null</v>
      </c>
      <c r="AN69" s="29" t="str">
        <f>IF(ISNUMBER(Tabella2[[#This Row],[Mean SHEAR stress  (MPa)]]),  IF(AND(ISNUMBER(Tabella2[[#This Row],[Mean SHEAR stress  (MPa)]]), ISNUMBER(Tabella2[[#This Row],[Torsional moment of inertia (mm^4)]]), ISNUMBER(Tabella2[[#This Row],[Diameter (mm)]])), Tabella2[[#This Row],[Mean SHEAR stress  (MPa)]]*Tabella2[[#This Row],[Torsional moment of inertia (mm^4)]]/(0.5*Tabella2[[#This Row],[Diameter (mm)]]),"Null"), " ")</f>
        <v>Null</v>
      </c>
      <c r="AO69" s="23" t="str">
        <f>IF(ISNUMBER(Tabella2[[#This Row],[Amplitute SHEAR stress  (MPa)]]), IF(AND(ISNUMBER(Tabella2[[#This Row],[Amplitute SHEAR stress  (MPa)]]), ISNUMBER(Tabella2[[#This Row],[Torsional moment of inertia (mm^4)]]), ISNUMBER(Tabella2[[#This Row],[Diameter (mm)]])),Tabella2[[#This Row],[Amplitute SHEAR stress  (MPa)]]*Tabella2[[#This Row],[Torsional moment of inertia (mm^4)]]/(0.5*Tabella2[[#This Row],[Diameter (mm)]]),"Null"), "")</f>
        <v>Null</v>
      </c>
      <c r="AP69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69" s="4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125</v>
      </c>
    </row>
    <row r="70" spans="1:43" ht="20" customHeight="1" x14ac:dyDescent="0.2">
      <c r="A70" s="1" t="s">
        <v>94</v>
      </c>
      <c r="B70" s="1">
        <v>2024</v>
      </c>
      <c r="C70" s="1" t="s">
        <v>97</v>
      </c>
      <c r="D70" s="1" t="s">
        <v>140</v>
      </c>
      <c r="E70" s="28">
        <v>3955089</v>
      </c>
      <c r="F70" s="1" t="s">
        <v>32</v>
      </c>
      <c r="G70" s="21" t="s">
        <v>99</v>
      </c>
      <c r="H70" s="1" t="e" vm="6">
        <v>#VALUE!</v>
      </c>
      <c r="I70" s="1" t="s">
        <v>158</v>
      </c>
      <c r="J70" s="1" t="s">
        <v>32</v>
      </c>
      <c r="K70" s="1">
        <v>6</v>
      </c>
      <c r="L70" s="1">
        <v>4</v>
      </c>
      <c r="M70" s="1" t="s">
        <v>21</v>
      </c>
      <c r="N70" s="1" t="s">
        <v>21</v>
      </c>
      <c r="O70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24</v>
      </c>
      <c r="P70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32</v>
      </c>
      <c r="Q70" s="24" t="str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Cannot be calculated</v>
      </c>
      <c r="R70" s="1">
        <v>0</v>
      </c>
      <c r="S70" s="1">
        <v>0</v>
      </c>
      <c r="T70" s="1">
        <v>0</v>
      </c>
      <c r="U70" s="28">
        <v>8</v>
      </c>
      <c r="V70" s="28">
        <v>8</v>
      </c>
      <c r="W70" s="28">
        <v>8</v>
      </c>
      <c r="X70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70" s="1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</v>
      </c>
      <c r="Z70" s="1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70" s="29">
        <v>0</v>
      </c>
      <c r="AB70" s="29">
        <v>0</v>
      </c>
      <c r="AC70" s="14">
        <v>137.5</v>
      </c>
      <c r="AD70" s="29">
        <v>137.5</v>
      </c>
      <c r="AE70" s="33" t="s">
        <v>58</v>
      </c>
      <c r="AF70" s="29">
        <v>0</v>
      </c>
      <c r="AG70" s="23">
        <v>0</v>
      </c>
      <c r="AH70" s="29">
        <f>IF(ISNUMBER(Tabella2[[#This Row],[Mean RADIAL stress  (MPa)]]), Tabella2[[#This Row],[Mean RADIAL stress  (MPa)]],"")</f>
        <v>0</v>
      </c>
      <c r="AI70" s="29">
        <f>IF(ISNUMBER(Tabella2[[#This Row],[Amplitute RADIAL stress  (MPa)]]), Tabella2[[#This Row],[Amplitute RADIAL stress  (MPa)]],"")</f>
        <v>0</v>
      </c>
      <c r="AJ70" s="29">
        <f>IF(ISNUMBER(Tabella2[[#This Row],[Mean AXIAL stress  (MPa)]]), IF(Tabella2[[#This Row],[derived from (AXIAL/BENDING) load]]="AXIAL",Tabella2[[#This Row],[Mean AXIAL stress  (MPa)]]*Tabella2[[#This Row],[Area (mm^2)]],"Null"), "")</f>
        <v>3300</v>
      </c>
      <c r="AK70" s="29">
        <f>IF(ISNUMBER(Tabella2[[#This Row],[Amplitute AXIAL stress  (MPa)]]),    IF(Tabella2[[#This Row],[derived from (AXIAL/BENDING) load]]="AXIAL",Tabella2[[#This Row],[Amplitute AXIAL stress  (MPa)]]*Tabella2[[#This Row],[Area (mm^2)]],"Null"), "")</f>
        <v>3300</v>
      </c>
      <c r="AL70" s="29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Row],[Bending moment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Row],[Bending moment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Row],[Bending moment of inertia (mm^4)]]/(Tabella2[[#This Row],[B (mm)]]*0.5),"Null"))),"")</f>
        <v>Null</v>
      </c>
      <c r="AM70" s="29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Row],[Bending moment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Row],[Bending moment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Row],[Bending moment of inertia (mm^4)]]/(Tabella2[[#This Row],[B (mm)]]*0.5),"Null"))), "")</f>
        <v>Null</v>
      </c>
      <c r="AN70" s="29" t="str">
        <f>IF(ISNUMBER(Tabella2[[#This Row],[Mean SHEAR stress  (MPa)]]),  IF(AND(ISNUMBER(Tabella2[[#This Row],[Mean SHEAR stress  (MPa)]]), ISNUMBER(Tabella2[[#This Row],[Torsional moment of inertia (mm^4)]]), ISNUMBER(Tabella2[[#This Row],[Diameter (mm)]])), Tabella2[[#This Row],[Mean SHEAR stress  (MPa)]]*Tabella2[[#This Row],[Torsional moment of inertia (mm^4)]]/(0.5*Tabella2[[#This Row],[Diameter (mm)]]),"Null"), " ")</f>
        <v>Null</v>
      </c>
      <c r="AO70" s="23" t="str">
        <f>IF(ISNUMBER(Tabella2[[#This Row],[Amplitute SHEAR stress  (MPa)]]), IF(AND(ISNUMBER(Tabella2[[#This Row],[Amplitute SHEAR stress  (MPa)]]), ISNUMBER(Tabella2[[#This Row],[Torsional moment of inertia (mm^4)]]), ISNUMBER(Tabella2[[#This Row],[Diameter (mm)]])),Tabella2[[#This Row],[Amplitute SHEAR stress  (MPa)]]*Tabella2[[#This Row],[Torsional moment of inertia (mm^4)]]/(0.5*Tabella2[[#This Row],[Diameter (mm)]]),"Null"), "")</f>
        <v>Null</v>
      </c>
      <c r="AP70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70" s="4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137.5</v>
      </c>
    </row>
    <row r="71" spans="1:43" ht="20" customHeight="1" x14ac:dyDescent="0.2">
      <c r="A71" s="1" t="s">
        <v>94</v>
      </c>
      <c r="B71" s="1">
        <v>2024</v>
      </c>
      <c r="C71" s="1" t="s">
        <v>97</v>
      </c>
      <c r="D71" s="1" t="s">
        <v>141</v>
      </c>
      <c r="E71" s="28">
        <v>69975.614335337901</v>
      </c>
      <c r="F71" s="1" t="s">
        <v>20</v>
      </c>
      <c r="G71" s="21" t="s">
        <v>99</v>
      </c>
      <c r="H71" s="1" t="e" vm="7">
        <v>#VALUE!</v>
      </c>
      <c r="I71" s="1" t="s">
        <v>27</v>
      </c>
      <c r="J71" s="1" t="s">
        <v>20</v>
      </c>
      <c r="K71" s="1" t="s">
        <v>21</v>
      </c>
      <c r="L71" s="1" t="s">
        <v>21</v>
      </c>
      <c r="M71" s="1">
        <v>0</v>
      </c>
      <c r="N71" s="1">
        <v>4</v>
      </c>
      <c r="O71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12.566370614359172</v>
      </c>
      <c r="P71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12.566370614359172</v>
      </c>
      <c r="Q71" s="2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25.132741228718345</v>
      </c>
      <c r="R71" s="1">
        <v>0</v>
      </c>
      <c r="S71" s="1">
        <v>0</v>
      </c>
      <c r="T71" s="1">
        <v>0</v>
      </c>
      <c r="U71" s="28">
        <v>8</v>
      </c>
      <c r="V71" s="28">
        <v>8</v>
      </c>
      <c r="W71" s="28">
        <v>8</v>
      </c>
      <c r="X71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71" s="1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</v>
      </c>
      <c r="Z71" s="1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71" s="49">
        <v>0</v>
      </c>
      <c r="AB71" s="29">
        <v>0</v>
      </c>
      <c r="AC71" s="14">
        <v>255.717949373556</v>
      </c>
      <c r="AD71" s="29">
        <v>255.717949373556</v>
      </c>
      <c r="AE71" s="33" t="s">
        <v>58</v>
      </c>
      <c r="AF71" s="29">
        <v>0</v>
      </c>
      <c r="AG71" s="23">
        <v>0</v>
      </c>
      <c r="AH71" s="29">
        <f>IF(ISNUMBER(Tabella2[[#This Row],[Mean RADIAL stress  (MPa)]]), Tabella2[[#This Row],[Mean RADIAL stress  (MPa)]],"")</f>
        <v>0</v>
      </c>
      <c r="AI71" s="29">
        <f>IF(ISNUMBER(Tabella2[[#This Row],[Amplitute RADIAL stress  (MPa)]]), Tabella2[[#This Row],[Amplitute RADIAL stress  (MPa)]],"")</f>
        <v>0</v>
      </c>
      <c r="AJ71" s="29">
        <f>IF(ISNUMBER(Tabella2[[#This Row],[Mean AXIAL stress  (MPa)]]), IF(Tabella2[[#This Row],[derived from (AXIAL/BENDING) load]]="AXIAL",Tabella2[[#This Row],[Mean AXIAL stress  (MPa)]]*Tabella2[[#This Row],[Area (mm^2)]],"Null"), "")</f>
        <v>3213.4465245720407</v>
      </c>
      <c r="AK71" s="29">
        <f>IF(ISNUMBER(Tabella2[[#This Row],[Amplitute AXIAL stress  (MPa)]]),    IF(Tabella2[[#This Row],[derived from (AXIAL/BENDING) load]]="AXIAL",Tabella2[[#This Row],[Amplitute AXIAL stress  (MPa)]]*Tabella2[[#This Row],[Area (mm^2)]],"Null"), "")</f>
        <v>3213.4465245720407</v>
      </c>
      <c r="AL71" s="29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Row],[Bending moment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Row],[Bending moment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Row],[Bending moment of inertia (mm^4)]]/(Tabella2[[#This Row],[B (mm)]]*0.5),"Null"))),"")</f>
        <v>Null</v>
      </c>
      <c r="AM71" s="29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Row],[Bending moment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Row],[Bending moment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Row],[Bending moment of inertia (mm^4)]]/(Tabella2[[#This Row],[B (mm)]]*0.5),"Null"))), "")</f>
        <v>Null</v>
      </c>
      <c r="AN71" s="29">
        <f>IF(ISNUMBER(Tabella2[[#This Row],[Mean SHEAR stress  (MPa)]]),  IF(AND(ISNUMBER(Tabella2[[#This Row],[Mean SHEAR stress  (MPa)]]), ISNUMBER(Tabella2[[#This Row],[Torsional moment of inertia (mm^4)]]), ISNUMBER(Tabella2[[#This Row],[Diameter (mm)]])), Tabella2[[#This Row],[Mean SHEAR stress  (MPa)]]*Tabella2[[#This Row],[Torsional moment of inertia (mm^4)]]/(0.5*Tabella2[[#This Row],[Diameter (mm)]]),"Null"), " ")</f>
        <v>0</v>
      </c>
      <c r="AO71" s="23">
        <f>IF(ISNUMBER(Tabella2[[#This Row],[Amplitute SHEAR stress  (MPa)]]), IF(AND(ISNUMBER(Tabella2[[#This Row],[Amplitute SHEAR stress  (MPa)]]), ISNUMBER(Tabella2[[#This Row],[Torsional moment of inertia (mm^4)]]), ISNUMBER(Tabella2[[#This Row],[Diameter (mm)]])),Tabella2[[#This Row],[Amplitute SHEAR stress  (MPa)]]*Tabella2[[#This Row],[Torsional moment of inertia (mm^4)]]/(0.5*Tabella2[[#This Row],[Diameter (mm)]]),"Null"), "")</f>
        <v>0</v>
      </c>
      <c r="AP71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71" s="4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255.717949373556</v>
      </c>
    </row>
    <row r="72" spans="1:43" ht="20" customHeight="1" x14ac:dyDescent="0.2">
      <c r="A72" s="1" t="s">
        <v>94</v>
      </c>
      <c r="B72" s="1">
        <v>2024</v>
      </c>
      <c r="C72" s="1" t="s">
        <v>97</v>
      </c>
      <c r="D72" s="1" t="s">
        <v>142</v>
      </c>
      <c r="E72" s="28">
        <v>98291.938165044907</v>
      </c>
      <c r="F72" s="1" t="s">
        <v>20</v>
      </c>
      <c r="G72" s="21" t="s">
        <v>99</v>
      </c>
      <c r="H72" s="1" t="e" vm="8">
        <v>#VALUE!</v>
      </c>
      <c r="I72" s="1" t="s">
        <v>27</v>
      </c>
      <c r="J72" s="1" t="s">
        <v>20</v>
      </c>
      <c r="K72" s="1" t="s">
        <v>21</v>
      </c>
      <c r="L72" s="1" t="s">
        <v>21</v>
      </c>
      <c r="M72" s="1">
        <v>0</v>
      </c>
      <c r="N72" s="1">
        <v>4</v>
      </c>
      <c r="O72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12.566370614359172</v>
      </c>
      <c r="P72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12.566370614359172</v>
      </c>
      <c r="Q72" s="2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25.132741228718345</v>
      </c>
      <c r="R72" s="1">
        <v>0</v>
      </c>
      <c r="S72" s="1">
        <v>0</v>
      </c>
      <c r="T72" s="1">
        <v>0</v>
      </c>
      <c r="U72" s="28">
        <v>8</v>
      </c>
      <c r="V72" s="28">
        <v>8</v>
      </c>
      <c r="W72" s="28">
        <v>8</v>
      </c>
      <c r="X72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72" s="1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</v>
      </c>
      <c r="Z72" s="1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72" s="49">
        <v>0</v>
      </c>
      <c r="AB72" s="29">
        <v>0</v>
      </c>
      <c r="AC72" s="14">
        <v>240.04280092058249</v>
      </c>
      <c r="AD72" s="29">
        <v>240.04280092058249</v>
      </c>
      <c r="AE72" s="33" t="s">
        <v>58</v>
      </c>
      <c r="AF72" s="29">
        <v>0</v>
      </c>
      <c r="AG72" s="23">
        <v>0</v>
      </c>
      <c r="AH72" s="29">
        <f>IF(ISNUMBER(Tabella2[[#This Row],[Mean RADIAL stress  (MPa)]]), Tabella2[[#This Row],[Mean RADIAL stress  (MPa)]],"")</f>
        <v>0</v>
      </c>
      <c r="AI72" s="29">
        <f>IF(ISNUMBER(Tabella2[[#This Row],[Amplitute RADIAL stress  (MPa)]]), Tabella2[[#This Row],[Amplitute RADIAL stress  (MPa)]],"")</f>
        <v>0</v>
      </c>
      <c r="AJ72" s="29">
        <f>IF(ISNUMBER(Tabella2[[#This Row],[Mean AXIAL stress  (MPa)]]), IF(Tabella2[[#This Row],[derived from (AXIAL/BENDING) load]]="AXIAL",Tabella2[[#This Row],[Mean AXIAL stress  (MPa)]]*Tabella2[[#This Row],[Area (mm^2)]],"Null"), "")</f>
        <v>3016.4667996768767</v>
      </c>
      <c r="AK72" s="29">
        <f>IF(ISNUMBER(Tabella2[[#This Row],[Amplitute AXIAL stress  (MPa)]]),    IF(Tabella2[[#This Row],[derived from (AXIAL/BENDING) load]]="AXIAL",Tabella2[[#This Row],[Amplitute AXIAL stress  (MPa)]]*Tabella2[[#This Row],[Area (mm^2)]],"Null"), "")</f>
        <v>3016.4667996768767</v>
      </c>
      <c r="AL72" s="29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Row],[Bending moment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Row],[Bending moment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Row],[Bending moment of inertia (mm^4)]]/(Tabella2[[#This Row],[B (mm)]]*0.5),"Null"))),"")</f>
        <v>Null</v>
      </c>
      <c r="AM72" s="29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Row],[Bending moment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Row],[Bending moment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Row],[Bending moment of inertia (mm^4)]]/(Tabella2[[#This Row],[B (mm)]]*0.5),"Null"))), "")</f>
        <v>Null</v>
      </c>
      <c r="AN72" s="29">
        <f>IF(ISNUMBER(Tabella2[[#This Row],[Mean SHEAR stress  (MPa)]]),  IF(AND(ISNUMBER(Tabella2[[#This Row],[Mean SHEAR stress  (MPa)]]), ISNUMBER(Tabella2[[#This Row],[Torsional moment of inertia (mm^4)]]), ISNUMBER(Tabella2[[#This Row],[Diameter (mm)]])), Tabella2[[#This Row],[Mean SHEAR stress  (MPa)]]*Tabella2[[#This Row],[Torsional moment of inertia (mm^4)]]/(0.5*Tabella2[[#This Row],[Diameter (mm)]]),"Null"), " ")</f>
        <v>0</v>
      </c>
      <c r="AO72" s="23">
        <f>IF(ISNUMBER(Tabella2[[#This Row],[Amplitute SHEAR stress  (MPa)]]), IF(AND(ISNUMBER(Tabella2[[#This Row],[Amplitute SHEAR stress  (MPa)]]), ISNUMBER(Tabella2[[#This Row],[Torsional moment of inertia (mm^4)]]), ISNUMBER(Tabella2[[#This Row],[Diameter (mm)]])),Tabella2[[#This Row],[Amplitute SHEAR stress  (MPa)]]*Tabella2[[#This Row],[Torsional moment of inertia (mm^4)]]/(0.5*Tabella2[[#This Row],[Diameter (mm)]]),"Null"), "")</f>
        <v>0</v>
      </c>
      <c r="AP72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72" s="4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240.04280092058249</v>
      </c>
    </row>
    <row r="73" spans="1:43" ht="20" customHeight="1" x14ac:dyDescent="0.2">
      <c r="A73" s="1" t="s">
        <v>94</v>
      </c>
      <c r="B73" s="1">
        <v>2024</v>
      </c>
      <c r="C73" s="1" t="s">
        <v>97</v>
      </c>
      <c r="D73" s="1" t="s">
        <v>143</v>
      </c>
      <c r="E73" s="28">
        <v>115022.54352295501</v>
      </c>
      <c r="F73" s="1" t="s">
        <v>20</v>
      </c>
      <c r="G73" s="21" t="s">
        <v>99</v>
      </c>
      <c r="H73" s="1" t="e" vm="8">
        <v>#VALUE!</v>
      </c>
      <c r="I73" s="1" t="s">
        <v>27</v>
      </c>
      <c r="J73" s="1" t="s">
        <v>20</v>
      </c>
      <c r="K73" s="1" t="s">
        <v>21</v>
      </c>
      <c r="L73" s="1" t="s">
        <v>21</v>
      </c>
      <c r="M73" s="1">
        <v>0</v>
      </c>
      <c r="N73" s="1">
        <v>4</v>
      </c>
      <c r="O73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12.566370614359172</v>
      </c>
      <c r="P73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12.566370614359172</v>
      </c>
      <c r="Q73" s="2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25.132741228718345</v>
      </c>
      <c r="R73" s="1">
        <v>0</v>
      </c>
      <c r="S73" s="1">
        <v>0</v>
      </c>
      <c r="T73" s="1">
        <v>0</v>
      </c>
      <c r="U73" s="28">
        <v>8</v>
      </c>
      <c r="V73" s="28">
        <v>8</v>
      </c>
      <c r="W73" s="28">
        <v>8</v>
      </c>
      <c r="X73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73" s="1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</v>
      </c>
      <c r="Z73" s="1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73" s="49">
        <v>0</v>
      </c>
      <c r="AB73" s="29">
        <v>0</v>
      </c>
      <c r="AC73" s="14">
        <v>248.279407501717</v>
      </c>
      <c r="AD73" s="29">
        <v>248.279407501717</v>
      </c>
      <c r="AE73" s="33" t="s">
        <v>58</v>
      </c>
      <c r="AF73" s="29">
        <v>0</v>
      </c>
      <c r="AG73" s="23">
        <v>0</v>
      </c>
      <c r="AH73" s="29">
        <f>IF(ISNUMBER(Tabella2[[#This Row],[Mean RADIAL stress  (MPa)]]), Tabella2[[#This Row],[Mean RADIAL stress  (MPa)]],"")</f>
        <v>0</v>
      </c>
      <c r="AI73" s="29">
        <f>IF(ISNUMBER(Tabella2[[#This Row],[Amplitute RADIAL stress  (MPa)]]), Tabella2[[#This Row],[Amplitute RADIAL stress  (MPa)]],"")</f>
        <v>0</v>
      </c>
      <c r="AJ73" s="29">
        <f>IF(ISNUMBER(Tabella2[[#This Row],[Mean AXIAL stress  (MPa)]]), IF(Tabella2[[#This Row],[derived from (AXIAL/BENDING) load]]="AXIAL",Tabella2[[#This Row],[Mean AXIAL stress  (MPa)]]*Tabella2[[#This Row],[Area (mm^2)]],"Null"), "")</f>
        <v>3119.9710505800826</v>
      </c>
      <c r="AK73" s="29">
        <f>IF(ISNUMBER(Tabella2[[#This Row],[Amplitute AXIAL stress  (MPa)]]),    IF(Tabella2[[#This Row],[derived from (AXIAL/BENDING) load]]="AXIAL",Tabella2[[#This Row],[Amplitute AXIAL stress  (MPa)]]*Tabella2[[#This Row],[Area (mm^2)]],"Null"), "")</f>
        <v>3119.9710505800826</v>
      </c>
      <c r="AL73" s="29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Row],[Bending moment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Row],[Bending moment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Row],[Bending moment of inertia (mm^4)]]/(Tabella2[[#This Row],[B (mm)]]*0.5),"Null"))),"")</f>
        <v>Null</v>
      </c>
      <c r="AM73" s="29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Row],[Bending moment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Row],[Bending moment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Row],[Bending moment of inertia (mm^4)]]/(Tabella2[[#This Row],[B (mm)]]*0.5),"Null"))), "")</f>
        <v>Null</v>
      </c>
      <c r="AN73" s="29">
        <f>IF(ISNUMBER(Tabella2[[#This Row],[Mean SHEAR stress  (MPa)]]),  IF(AND(ISNUMBER(Tabella2[[#This Row],[Mean SHEAR stress  (MPa)]]), ISNUMBER(Tabella2[[#This Row],[Torsional moment of inertia (mm^4)]]), ISNUMBER(Tabella2[[#This Row],[Diameter (mm)]])), Tabella2[[#This Row],[Mean SHEAR stress  (MPa)]]*Tabella2[[#This Row],[Torsional moment of inertia (mm^4)]]/(0.5*Tabella2[[#This Row],[Diameter (mm)]]),"Null"), " ")</f>
        <v>0</v>
      </c>
      <c r="AO73" s="23">
        <f>IF(ISNUMBER(Tabella2[[#This Row],[Amplitute SHEAR stress  (MPa)]]), IF(AND(ISNUMBER(Tabella2[[#This Row],[Amplitute SHEAR stress  (MPa)]]), ISNUMBER(Tabella2[[#This Row],[Torsional moment of inertia (mm^4)]]), ISNUMBER(Tabella2[[#This Row],[Diameter (mm)]])),Tabella2[[#This Row],[Amplitute SHEAR stress  (MPa)]]*Tabella2[[#This Row],[Torsional moment of inertia (mm^4)]]/(0.5*Tabella2[[#This Row],[Diameter (mm)]]),"Null"), "")</f>
        <v>0</v>
      </c>
      <c r="AP73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73" s="4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248.279407501717</v>
      </c>
    </row>
    <row r="74" spans="1:43" ht="20" customHeight="1" x14ac:dyDescent="0.2">
      <c r="A74" s="1" t="s">
        <v>94</v>
      </c>
      <c r="B74" s="1">
        <v>2024</v>
      </c>
      <c r="C74" s="1" t="s">
        <v>97</v>
      </c>
      <c r="D74" s="1" t="s">
        <v>144</v>
      </c>
      <c r="E74" s="28">
        <v>138119.68453642901</v>
      </c>
      <c r="F74" s="1" t="s">
        <v>20</v>
      </c>
      <c r="G74" s="21" t="s">
        <v>99</v>
      </c>
      <c r="H74" s="1" t="e" vm="8">
        <v>#VALUE!</v>
      </c>
      <c r="I74" s="1" t="s">
        <v>27</v>
      </c>
      <c r="J74" s="1" t="s">
        <v>20</v>
      </c>
      <c r="K74" s="1" t="s">
        <v>21</v>
      </c>
      <c r="L74" s="1" t="s">
        <v>21</v>
      </c>
      <c r="M74" s="1">
        <v>0</v>
      </c>
      <c r="N74" s="1">
        <v>4</v>
      </c>
      <c r="O74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12.566370614359172</v>
      </c>
      <c r="P74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12.566370614359172</v>
      </c>
      <c r="Q74" s="2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25.132741228718345</v>
      </c>
      <c r="R74" s="1">
        <v>0</v>
      </c>
      <c r="S74" s="1">
        <v>0</v>
      </c>
      <c r="T74" s="1">
        <v>0</v>
      </c>
      <c r="U74" s="28">
        <v>8</v>
      </c>
      <c r="V74" s="28">
        <v>8</v>
      </c>
      <c r="W74" s="28">
        <v>8</v>
      </c>
      <c r="X74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74" s="1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</v>
      </c>
      <c r="Z74" s="1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74" s="49">
        <v>0</v>
      </c>
      <c r="AB74" s="29">
        <v>0</v>
      </c>
      <c r="AC74" s="14">
        <v>241.05724428188401</v>
      </c>
      <c r="AD74" s="29">
        <v>241.05724428188401</v>
      </c>
      <c r="AE74" s="33" t="s">
        <v>58</v>
      </c>
      <c r="AF74" s="29">
        <v>0</v>
      </c>
      <c r="AG74" s="23">
        <v>0</v>
      </c>
      <c r="AH74" s="29">
        <f>IF(ISNUMBER(Tabella2[[#This Row],[Mean RADIAL stress  (MPa)]]), Tabella2[[#This Row],[Mean RADIAL stress  (MPa)]],"")</f>
        <v>0</v>
      </c>
      <c r="AI74" s="29">
        <f>IF(ISNUMBER(Tabella2[[#This Row],[Amplitute RADIAL stress  (MPa)]]), Tabella2[[#This Row],[Amplitute RADIAL stress  (MPa)]],"")</f>
        <v>0</v>
      </c>
      <c r="AJ74" s="29">
        <f>IF(ISNUMBER(Tabella2[[#This Row],[Mean AXIAL stress  (MPa)]]), IF(Tabella2[[#This Row],[derived from (AXIAL/BENDING) load]]="AXIAL",Tabella2[[#This Row],[Mean AXIAL stress  (MPa)]]*Tabella2[[#This Row],[Area (mm^2)]],"Null"), "")</f>
        <v>3029.2146709222679</v>
      </c>
      <c r="AK74" s="29">
        <f>IF(ISNUMBER(Tabella2[[#This Row],[Amplitute AXIAL stress  (MPa)]]),    IF(Tabella2[[#This Row],[derived from (AXIAL/BENDING) load]]="AXIAL",Tabella2[[#This Row],[Amplitute AXIAL stress  (MPa)]]*Tabella2[[#This Row],[Area (mm^2)]],"Null"), "")</f>
        <v>3029.2146709222679</v>
      </c>
      <c r="AL74" s="29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Row],[Bending moment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Row],[Bending moment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Row],[Bending moment of inertia (mm^4)]]/(Tabella2[[#This Row],[B (mm)]]*0.5),"Null"))),"")</f>
        <v>Null</v>
      </c>
      <c r="AM74" s="29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Row],[Bending moment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Row],[Bending moment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Row],[Bending moment of inertia (mm^4)]]/(Tabella2[[#This Row],[B (mm)]]*0.5),"Null"))), "")</f>
        <v>Null</v>
      </c>
      <c r="AN74" s="29">
        <f>IF(ISNUMBER(Tabella2[[#This Row],[Mean SHEAR stress  (MPa)]]),  IF(AND(ISNUMBER(Tabella2[[#This Row],[Mean SHEAR stress  (MPa)]]), ISNUMBER(Tabella2[[#This Row],[Torsional moment of inertia (mm^4)]]), ISNUMBER(Tabella2[[#This Row],[Diameter (mm)]])), Tabella2[[#This Row],[Mean SHEAR stress  (MPa)]]*Tabella2[[#This Row],[Torsional moment of inertia (mm^4)]]/(0.5*Tabella2[[#This Row],[Diameter (mm)]]),"Null"), " ")</f>
        <v>0</v>
      </c>
      <c r="AO74" s="23">
        <f>IF(ISNUMBER(Tabella2[[#This Row],[Amplitute SHEAR stress  (MPa)]]), IF(AND(ISNUMBER(Tabella2[[#This Row],[Amplitute SHEAR stress  (MPa)]]), ISNUMBER(Tabella2[[#This Row],[Torsional moment of inertia (mm^4)]]), ISNUMBER(Tabella2[[#This Row],[Diameter (mm)]])),Tabella2[[#This Row],[Amplitute SHEAR stress  (MPa)]]*Tabella2[[#This Row],[Torsional moment of inertia (mm^4)]]/(0.5*Tabella2[[#This Row],[Diameter (mm)]]),"Null"), "")</f>
        <v>0</v>
      </c>
      <c r="AP74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74" s="4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241.05724428188401</v>
      </c>
    </row>
    <row r="75" spans="1:43" ht="20" customHeight="1" x14ac:dyDescent="0.2">
      <c r="A75" s="1" t="s">
        <v>94</v>
      </c>
      <c r="B75" s="1">
        <v>2024</v>
      </c>
      <c r="C75" s="1" t="s">
        <v>97</v>
      </c>
      <c r="D75" s="1" t="s">
        <v>145</v>
      </c>
      <c r="E75" s="28">
        <v>159528.700623432</v>
      </c>
      <c r="F75" s="1" t="s">
        <v>20</v>
      </c>
      <c r="G75" s="21" t="s">
        <v>99</v>
      </c>
      <c r="H75" s="1" t="e" vm="8">
        <v>#VALUE!</v>
      </c>
      <c r="I75" s="1" t="s">
        <v>27</v>
      </c>
      <c r="J75" s="1" t="s">
        <v>20</v>
      </c>
      <c r="K75" s="1" t="s">
        <v>21</v>
      </c>
      <c r="L75" s="1" t="s">
        <v>21</v>
      </c>
      <c r="M75" s="1">
        <v>0</v>
      </c>
      <c r="N75" s="1">
        <v>4</v>
      </c>
      <c r="O75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12.566370614359172</v>
      </c>
      <c r="P75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12.566370614359172</v>
      </c>
      <c r="Q75" s="2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25.132741228718345</v>
      </c>
      <c r="R75" s="1">
        <v>0</v>
      </c>
      <c r="S75" s="1">
        <v>0</v>
      </c>
      <c r="T75" s="1">
        <v>0</v>
      </c>
      <c r="U75" s="28">
        <v>8</v>
      </c>
      <c r="V75" s="28">
        <v>8</v>
      </c>
      <c r="W75" s="28">
        <v>8</v>
      </c>
      <c r="X75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75" s="1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</v>
      </c>
      <c r="Z75" s="1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75" s="49">
        <v>0</v>
      </c>
      <c r="AB75" s="29">
        <v>0</v>
      </c>
      <c r="AC75" s="14">
        <v>249.32865953394651</v>
      </c>
      <c r="AD75" s="29">
        <v>249.32865953394651</v>
      </c>
      <c r="AE75" s="33" t="s">
        <v>58</v>
      </c>
      <c r="AF75" s="29">
        <v>0</v>
      </c>
      <c r="AG75" s="23">
        <v>0</v>
      </c>
      <c r="AH75" s="29">
        <f>IF(ISNUMBER(Tabella2[[#This Row],[Mean RADIAL stress  (MPa)]]), Tabella2[[#This Row],[Mean RADIAL stress  (MPa)]],"")</f>
        <v>0</v>
      </c>
      <c r="AI75" s="29">
        <f>IF(ISNUMBER(Tabella2[[#This Row],[Amplitute RADIAL stress  (MPa)]]), Tabella2[[#This Row],[Amplitute RADIAL stress  (MPa)]],"")</f>
        <v>0</v>
      </c>
      <c r="AJ75" s="29">
        <f>IF(ISNUMBER(Tabella2[[#This Row],[Mean AXIAL stress  (MPa)]]), IF(Tabella2[[#This Row],[derived from (AXIAL/BENDING) load]]="AXIAL",Tabella2[[#This Row],[Mean AXIAL stress  (MPa)]]*Tabella2[[#This Row],[Area (mm^2)]],"Null"), "")</f>
        <v>3133.1563404849485</v>
      </c>
      <c r="AK75" s="29">
        <f>IF(ISNUMBER(Tabella2[[#This Row],[Amplitute AXIAL stress  (MPa)]]),    IF(Tabella2[[#This Row],[derived from (AXIAL/BENDING) load]]="AXIAL",Tabella2[[#This Row],[Amplitute AXIAL stress  (MPa)]]*Tabella2[[#This Row],[Area (mm^2)]],"Null"), "")</f>
        <v>3133.1563404849485</v>
      </c>
      <c r="AL75" s="29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Row],[Bending moment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Row],[Bending moment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Row],[Bending moment of inertia (mm^4)]]/(Tabella2[[#This Row],[B (mm)]]*0.5),"Null"))),"")</f>
        <v>Null</v>
      </c>
      <c r="AM75" s="29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Row],[Bending moment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Row],[Bending moment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Row],[Bending moment of inertia (mm^4)]]/(Tabella2[[#This Row],[B (mm)]]*0.5),"Null"))), "")</f>
        <v>Null</v>
      </c>
      <c r="AN75" s="29">
        <f>IF(ISNUMBER(Tabella2[[#This Row],[Mean SHEAR stress  (MPa)]]),  IF(AND(ISNUMBER(Tabella2[[#This Row],[Mean SHEAR stress  (MPa)]]), ISNUMBER(Tabella2[[#This Row],[Torsional moment of inertia (mm^4)]]), ISNUMBER(Tabella2[[#This Row],[Diameter (mm)]])), Tabella2[[#This Row],[Mean SHEAR stress  (MPa)]]*Tabella2[[#This Row],[Torsional moment of inertia (mm^4)]]/(0.5*Tabella2[[#This Row],[Diameter (mm)]]),"Null"), " ")</f>
        <v>0</v>
      </c>
      <c r="AO75" s="23">
        <f>IF(ISNUMBER(Tabella2[[#This Row],[Amplitute SHEAR stress  (MPa)]]), IF(AND(ISNUMBER(Tabella2[[#This Row],[Amplitute SHEAR stress  (MPa)]]), ISNUMBER(Tabella2[[#This Row],[Torsional moment of inertia (mm^4)]]), ISNUMBER(Tabella2[[#This Row],[Diameter (mm)]])),Tabella2[[#This Row],[Amplitute SHEAR stress  (MPa)]]*Tabella2[[#This Row],[Torsional moment of inertia (mm^4)]]/(0.5*Tabella2[[#This Row],[Diameter (mm)]]),"Null"), "")</f>
        <v>0</v>
      </c>
      <c r="AP75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75" s="4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249.32865953394651</v>
      </c>
    </row>
    <row r="76" spans="1:43" ht="20" customHeight="1" x14ac:dyDescent="0.2">
      <c r="A76" s="1" t="s">
        <v>94</v>
      </c>
      <c r="B76" s="1">
        <v>2024</v>
      </c>
      <c r="C76" s="1" t="s">
        <v>97</v>
      </c>
      <c r="D76" s="1" t="s">
        <v>146</v>
      </c>
      <c r="E76" s="28">
        <v>184229.698075472</v>
      </c>
      <c r="F76" s="1" t="s">
        <v>20</v>
      </c>
      <c r="G76" s="21" t="s">
        <v>99</v>
      </c>
      <c r="H76" s="1" t="e" vm="8">
        <v>#VALUE!</v>
      </c>
      <c r="I76" s="1" t="s">
        <v>27</v>
      </c>
      <c r="J76" s="1" t="s">
        <v>20</v>
      </c>
      <c r="K76" s="1" t="s">
        <v>21</v>
      </c>
      <c r="L76" s="1" t="s">
        <v>21</v>
      </c>
      <c r="M76" s="1">
        <v>0</v>
      </c>
      <c r="N76" s="1">
        <v>4</v>
      </c>
      <c r="O76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12.566370614359172</v>
      </c>
      <c r="P76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12.566370614359172</v>
      </c>
      <c r="Q76" s="2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25.132741228718345</v>
      </c>
      <c r="R76" s="1">
        <v>0</v>
      </c>
      <c r="S76" s="1">
        <v>0</v>
      </c>
      <c r="T76" s="1">
        <v>0</v>
      </c>
      <c r="U76" s="28">
        <v>8</v>
      </c>
      <c r="V76" s="28">
        <v>8</v>
      </c>
      <c r="W76" s="28">
        <v>8</v>
      </c>
      <c r="X76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76" s="1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</v>
      </c>
      <c r="Z76" s="1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76" s="49">
        <v>0</v>
      </c>
      <c r="AB76" s="29">
        <v>0</v>
      </c>
      <c r="AC76" s="14">
        <v>251.4404850500205</v>
      </c>
      <c r="AD76" s="29">
        <v>251.4404850500205</v>
      </c>
      <c r="AE76" s="33" t="s">
        <v>58</v>
      </c>
      <c r="AF76" s="29">
        <v>0</v>
      </c>
      <c r="AG76" s="23">
        <v>0</v>
      </c>
      <c r="AH76" s="29">
        <f>IF(ISNUMBER(Tabella2[[#This Row],[Mean RADIAL stress  (MPa)]]), Tabella2[[#This Row],[Mean RADIAL stress  (MPa)]],"")</f>
        <v>0</v>
      </c>
      <c r="AI76" s="29">
        <f>IF(ISNUMBER(Tabella2[[#This Row],[Amplitute RADIAL stress  (MPa)]]), Tabella2[[#This Row],[Amplitute RADIAL stress  (MPa)]],"")</f>
        <v>0</v>
      </c>
      <c r="AJ76" s="29">
        <f>IF(ISNUMBER(Tabella2[[#This Row],[Mean AXIAL stress  (MPa)]]), IF(Tabella2[[#This Row],[derived from (AXIAL/BENDING) load]]="AXIAL",Tabella2[[#This Row],[Mean AXIAL stress  (MPa)]]*Tabella2[[#This Row],[Area (mm^2)]],"Null"), "")</f>
        <v>3159.6943225927944</v>
      </c>
      <c r="AK76" s="29">
        <f>IF(ISNUMBER(Tabella2[[#This Row],[Amplitute AXIAL stress  (MPa)]]),    IF(Tabella2[[#This Row],[derived from (AXIAL/BENDING) load]]="AXIAL",Tabella2[[#This Row],[Amplitute AXIAL stress  (MPa)]]*Tabella2[[#This Row],[Area (mm^2)]],"Null"), "")</f>
        <v>3159.6943225927944</v>
      </c>
      <c r="AL76" s="29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Row],[Bending moment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Row],[Bending moment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Row],[Bending moment of inertia (mm^4)]]/(Tabella2[[#This Row],[B (mm)]]*0.5),"Null"))),"")</f>
        <v>Null</v>
      </c>
      <c r="AM76" s="29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Row],[Bending moment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Row],[Bending moment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Row],[Bending moment of inertia (mm^4)]]/(Tabella2[[#This Row],[B (mm)]]*0.5),"Null"))), "")</f>
        <v>Null</v>
      </c>
      <c r="AN76" s="29">
        <f>IF(ISNUMBER(Tabella2[[#This Row],[Mean SHEAR stress  (MPa)]]),  IF(AND(ISNUMBER(Tabella2[[#This Row],[Mean SHEAR stress  (MPa)]]), ISNUMBER(Tabella2[[#This Row],[Torsional moment of inertia (mm^4)]]), ISNUMBER(Tabella2[[#This Row],[Diameter (mm)]])), Tabella2[[#This Row],[Mean SHEAR stress  (MPa)]]*Tabella2[[#This Row],[Torsional moment of inertia (mm^4)]]/(0.5*Tabella2[[#This Row],[Diameter (mm)]]),"Null"), " ")</f>
        <v>0</v>
      </c>
      <c r="AO76" s="23">
        <f>IF(ISNUMBER(Tabella2[[#This Row],[Amplitute SHEAR stress  (MPa)]]), IF(AND(ISNUMBER(Tabella2[[#This Row],[Amplitute SHEAR stress  (MPa)]]), ISNUMBER(Tabella2[[#This Row],[Torsional moment of inertia (mm^4)]]), ISNUMBER(Tabella2[[#This Row],[Diameter (mm)]])),Tabella2[[#This Row],[Amplitute SHEAR stress  (MPa)]]*Tabella2[[#This Row],[Torsional moment of inertia (mm^4)]]/(0.5*Tabella2[[#This Row],[Diameter (mm)]]),"Null"), "")</f>
        <v>0</v>
      </c>
      <c r="AP76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76" s="4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251.4404850500205</v>
      </c>
    </row>
    <row r="77" spans="1:43" ht="20" customHeight="1" x14ac:dyDescent="0.2">
      <c r="A77" s="1" t="s">
        <v>94</v>
      </c>
      <c r="B77" s="1">
        <v>2024</v>
      </c>
      <c r="C77" s="1" t="s">
        <v>97</v>
      </c>
      <c r="D77" s="1" t="s">
        <v>147</v>
      </c>
      <c r="E77" s="28">
        <v>172522.795562466</v>
      </c>
      <c r="F77" s="1" t="s">
        <v>20</v>
      </c>
      <c r="G77" s="21" t="s">
        <v>99</v>
      </c>
      <c r="H77" s="1" t="e" vm="8">
        <v>#VALUE!</v>
      </c>
      <c r="I77" s="1" t="s">
        <v>27</v>
      </c>
      <c r="J77" s="1" t="s">
        <v>20</v>
      </c>
      <c r="K77" s="1" t="s">
        <v>21</v>
      </c>
      <c r="L77" s="1" t="s">
        <v>21</v>
      </c>
      <c r="M77" s="1">
        <v>0</v>
      </c>
      <c r="N77" s="1">
        <v>4</v>
      </c>
      <c r="O77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12.566370614359172</v>
      </c>
      <c r="P77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12.566370614359172</v>
      </c>
      <c r="Q77" s="2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25.132741228718345</v>
      </c>
      <c r="R77" s="1">
        <v>0</v>
      </c>
      <c r="S77" s="1">
        <v>0</v>
      </c>
      <c r="T77" s="1">
        <v>0</v>
      </c>
      <c r="U77" s="28">
        <v>8</v>
      </c>
      <c r="V77" s="28">
        <v>8</v>
      </c>
      <c r="W77" s="28">
        <v>8</v>
      </c>
      <c r="X77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77" s="1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</v>
      </c>
      <c r="Z77" s="1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77" s="49">
        <v>0</v>
      </c>
      <c r="AB77" s="29">
        <v>0</v>
      </c>
      <c r="AC77" s="14">
        <v>241.05724428188401</v>
      </c>
      <c r="AD77" s="29">
        <v>241.05724428188401</v>
      </c>
      <c r="AE77" s="33" t="s">
        <v>58</v>
      </c>
      <c r="AF77" s="29">
        <v>0</v>
      </c>
      <c r="AG77" s="23">
        <v>0</v>
      </c>
      <c r="AH77" s="29">
        <f>IF(ISNUMBER(Tabella2[[#This Row],[Mean RADIAL stress  (MPa)]]), Tabella2[[#This Row],[Mean RADIAL stress  (MPa)]],"")</f>
        <v>0</v>
      </c>
      <c r="AI77" s="29">
        <f>IF(ISNUMBER(Tabella2[[#This Row],[Amplitute RADIAL stress  (MPa)]]), Tabella2[[#This Row],[Amplitute RADIAL stress  (MPa)]],"")</f>
        <v>0</v>
      </c>
      <c r="AJ77" s="29">
        <f>IF(ISNUMBER(Tabella2[[#This Row],[Mean AXIAL stress  (MPa)]]), IF(Tabella2[[#This Row],[derived from (AXIAL/BENDING) load]]="AXIAL",Tabella2[[#This Row],[Mean AXIAL stress  (MPa)]]*Tabella2[[#This Row],[Area (mm^2)]],"Null"), "")</f>
        <v>3029.2146709222679</v>
      </c>
      <c r="AK77" s="29">
        <f>IF(ISNUMBER(Tabella2[[#This Row],[Amplitute AXIAL stress  (MPa)]]),    IF(Tabella2[[#This Row],[derived from (AXIAL/BENDING) load]]="AXIAL",Tabella2[[#This Row],[Amplitute AXIAL stress  (MPa)]]*Tabella2[[#This Row],[Area (mm^2)]],"Null"), "")</f>
        <v>3029.2146709222679</v>
      </c>
      <c r="AL77" s="29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Row],[Bending moment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Row],[Bending moment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Row],[Bending moment of inertia (mm^4)]]/(Tabella2[[#This Row],[B (mm)]]*0.5),"Null"))),"")</f>
        <v>Null</v>
      </c>
      <c r="AM77" s="29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Row],[Bending moment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Row],[Bending moment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Row],[Bending moment of inertia (mm^4)]]/(Tabella2[[#This Row],[B (mm)]]*0.5),"Null"))), "")</f>
        <v>Null</v>
      </c>
      <c r="AN77" s="29">
        <f>IF(ISNUMBER(Tabella2[[#This Row],[Mean SHEAR stress  (MPa)]]),  IF(AND(ISNUMBER(Tabella2[[#This Row],[Mean SHEAR stress  (MPa)]]), ISNUMBER(Tabella2[[#This Row],[Torsional moment of inertia (mm^4)]]), ISNUMBER(Tabella2[[#This Row],[Diameter (mm)]])), Tabella2[[#This Row],[Mean SHEAR stress  (MPa)]]*Tabella2[[#This Row],[Torsional moment of inertia (mm^4)]]/(0.5*Tabella2[[#This Row],[Diameter (mm)]]),"Null"), " ")</f>
        <v>0</v>
      </c>
      <c r="AO77" s="23">
        <f>IF(ISNUMBER(Tabella2[[#This Row],[Amplitute SHEAR stress  (MPa)]]), IF(AND(ISNUMBER(Tabella2[[#This Row],[Amplitute SHEAR stress  (MPa)]]), ISNUMBER(Tabella2[[#This Row],[Torsional moment of inertia (mm^4)]]), ISNUMBER(Tabella2[[#This Row],[Diameter (mm)]])),Tabella2[[#This Row],[Amplitute SHEAR stress  (MPa)]]*Tabella2[[#This Row],[Torsional moment of inertia (mm^4)]]/(0.5*Tabella2[[#This Row],[Diameter (mm)]]),"Null"), "")</f>
        <v>0</v>
      </c>
      <c r="AP77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77" s="4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241.05724428188401</v>
      </c>
    </row>
    <row r="78" spans="1:43" ht="20" customHeight="1" x14ac:dyDescent="0.2">
      <c r="A78" s="1" t="s">
        <v>94</v>
      </c>
      <c r="B78" s="1">
        <v>2024</v>
      </c>
      <c r="C78" s="1" t="s">
        <v>97</v>
      </c>
      <c r="D78" s="1" t="s">
        <v>148</v>
      </c>
      <c r="E78" s="28">
        <v>221118.01442486999</v>
      </c>
      <c r="F78" s="1" t="s">
        <v>20</v>
      </c>
      <c r="G78" s="21" t="s">
        <v>99</v>
      </c>
      <c r="H78" s="1" t="e" vm="8">
        <v>#VALUE!</v>
      </c>
      <c r="I78" s="1" t="s">
        <v>27</v>
      </c>
      <c r="J78" s="1" t="s">
        <v>20</v>
      </c>
      <c r="K78" s="1" t="s">
        <v>21</v>
      </c>
      <c r="L78" s="1" t="s">
        <v>21</v>
      </c>
      <c r="M78" s="1">
        <v>0</v>
      </c>
      <c r="N78" s="1">
        <v>4</v>
      </c>
      <c r="O78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12.566370614359172</v>
      </c>
      <c r="P78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12.566370614359172</v>
      </c>
      <c r="Q78" s="2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25.132741228718345</v>
      </c>
      <c r="R78" s="1">
        <v>0</v>
      </c>
      <c r="S78" s="1">
        <v>0</v>
      </c>
      <c r="T78" s="1">
        <v>0</v>
      </c>
      <c r="U78" s="28">
        <v>8</v>
      </c>
      <c r="V78" s="28">
        <v>8</v>
      </c>
      <c r="W78" s="28">
        <v>8</v>
      </c>
      <c r="X78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78" s="1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</v>
      </c>
      <c r="Z78" s="1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78" s="49">
        <v>0</v>
      </c>
      <c r="AB78" s="29">
        <v>0</v>
      </c>
      <c r="AC78" s="14">
        <v>224.38026487041699</v>
      </c>
      <c r="AD78" s="29">
        <v>224.38026487041699</v>
      </c>
      <c r="AE78" s="33" t="s">
        <v>58</v>
      </c>
      <c r="AF78" s="29">
        <v>0</v>
      </c>
      <c r="AG78" s="23">
        <v>0</v>
      </c>
      <c r="AH78" s="29">
        <f>IF(ISNUMBER(Tabella2[[#This Row],[Mean RADIAL stress  (MPa)]]), Tabella2[[#This Row],[Mean RADIAL stress  (MPa)]],"")</f>
        <v>0</v>
      </c>
      <c r="AI78" s="29">
        <f>IF(ISNUMBER(Tabella2[[#This Row],[Amplitute RADIAL stress  (MPa)]]), Tabella2[[#This Row],[Amplitute RADIAL stress  (MPa)]],"")</f>
        <v>0</v>
      </c>
      <c r="AJ78" s="29">
        <f>IF(ISNUMBER(Tabella2[[#This Row],[Mean AXIAL stress  (MPa)]]), IF(Tabella2[[#This Row],[derived from (AXIAL/BENDING) load]]="AXIAL",Tabella2[[#This Row],[Mean AXIAL stress  (MPa)]]*Tabella2[[#This Row],[Area (mm^2)]],"Null"), "")</f>
        <v>2819.6455669097359</v>
      </c>
      <c r="AK78" s="29">
        <f>IF(ISNUMBER(Tabella2[[#This Row],[Amplitute AXIAL stress  (MPa)]]),    IF(Tabella2[[#This Row],[derived from (AXIAL/BENDING) load]]="AXIAL",Tabella2[[#This Row],[Amplitute AXIAL stress  (MPa)]]*Tabella2[[#This Row],[Area (mm^2)]],"Null"), "")</f>
        <v>2819.6455669097359</v>
      </c>
      <c r="AL78" s="29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Row],[Bending moment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Row],[Bending moment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Row],[Bending moment of inertia (mm^4)]]/(Tabella2[[#This Row],[B (mm)]]*0.5),"Null"))),"")</f>
        <v>Null</v>
      </c>
      <c r="AM78" s="29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Row],[Bending moment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Row],[Bending moment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Row],[Bending moment of inertia (mm^4)]]/(Tabella2[[#This Row],[B (mm)]]*0.5),"Null"))), "")</f>
        <v>Null</v>
      </c>
      <c r="AN78" s="29">
        <f>IF(ISNUMBER(Tabella2[[#This Row],[Mean SHEAR stress  (MPa)]]),  IF(AND(ISNUMBER(Tabella2[[#This Row],[Mean SHEAR stress  (MPa)]]), ISNUMBER(Tabella2[[#This Row],[Torsional moment of inertia (mm^4)]]), ISNUMBER(Tabella2[[#This Row],[Diameter (mm)]])), Tabella2[[#This Row],[Mean SHEAR stress  (MPa)]]*Tabella2[[#This Row],[Torsional moment of inertia (mm^4)]]/(0.5*Tabella2[[#This Row],[Diameter (mm)]]),"Null"), " ")</f>
        <v>0</v>
      </c>
      <c r="AO78" s="23">
        <f>IF(ISNUMBER(Tabella2[[#This Row],[Amplitute SHEAR stress  (MPa)]]), IF(AND(ISNUMBER(Tabella2[[#This Row],[Amplitute SHEAR stress  (MPa)]]), ISNUMBER(Tabella2[[#This Row],[Torsional moment of inertia (mm^4)]]), ISNUMBER(Tabella2[[#This Row],[Diameter (mm)]])),Tabella2[[#This Row],[Amplitute SHEAR stress  (MPa)]]*Tabella2[[#This Row],[Torsional moment of inertia (mm^4)]]/(0.5*Tabella2[[#This Row],[Diameter (mm)]]),"Null"), "")</f>
        <v>0</v>
      </c>
      <c r="AP78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78" s="4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224.38026487041699</v>
      </c>
    </row>
    <row r="79" spans="1:43" ht="20" customHeight="1" x14ac:dyDescent="0.2">
      <c r="A79" s="1" t="s">
        <v>94</v>
      </c>
      <c r="B79" s="1">
        <v>2024</v>
      </c>
      <c r="C79" s="1" t="s">
        <v>97</v>
      </c>
      <c r="D79" s="1" t="s">
        <v>149</v>
      </c>
      <c r="E79" s="28">
        <v>262112.51782478701</v>
      </c>
      <c r="F79" s="1" t="s">
        <v>20</v>
      </c>
      <c r="G79" s="21" t="s">
        <v>99</v>
      </c>
      <c r="H79" s="1" t="e" vm="8">
        <v>#VALUE!</v>
      </c>
      <c r="I79" s="1" t="s">
        <v>27</v>
      </c>
      <c r="J79" s="1" t="s">
        <v>20</v>
      </c>
      <c r="K79" s="1" t="s">
        <v>21</v>
      </c>
      <c r="L79" s="1" t="s">
        <v>21</v>
      </c>
      <c r="M79" s="1">
        <v>0</v>
      </c>
      <c r="N79" s="1">
        <v>4</v>
      </c>
      <c r="O79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12.566370614359172</v>
      </c>
      <c r="P79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12.566370614359172</v>
      </c>
      <c r="Q79" s="2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25.132741228718345</v>
      </c>
      <c r="R79" s="1">
        <v>0</v>
      </c>
      <c r="S79" s="1">
        <v>0</v>
      </c>
      <c r="T79" s="1">
        <v>0</v>
      </c>
      <c r="U79" s="28">
        <v>8</v>
      </c>
      <c r="V79" s="28">
        <v>8</v>
      </c>
      <c r="W79" s="28">
        <v>8</v>
      </c>
      <c r="X79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79" s="1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</v>
      </c>
      <c r="Z79" s="1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79" s="49">
        <v>0</v>
      </c>
      <c r="AB79" s="29">
        <v>0</v>
      </c>
      <c r="AC79" s="14">
        <v>224.38026487041699</v>
      </c>
      <c r="AD79" s="29">
        <v>224.38026487041699</v>
      </c>
      <c r="AE79" s="33" t="s">
        <v>58</v>
      </c>
      <c r="AF79" s="29">
        <v>0</v>
      </c>
      <c r="AG79" s="23">
        <v>0</v>
      </c>
      <c r="AH79" s="29">
        <f>IF(ISNUMBER(Tabella2[[#This Row],[Mean RADIAL stress  (MPa)]]), Tabella2[[#This Row],[Mean RADIAL stress  (MPa)]],"")</f>
        <v>0</v>
      </c>
      <c r="AI79" s="29">
        <f>IF(ISNUMBER(Tabella2[[#This Row],[Amplitute RADIAL stress  (MPa)]]), Tabella2[[#This Row],[Amplitute RADIAL stress  (MPa)]],"")</f>
        <v>0</v>
      </c>
      <c r="AJ79" s="29">
        <f>IF(ISNUMBER(Tabella2[[#This Row],[Mean AXIAL stress  (MPa)]]), IF(Tabella2[[#This Row],[derived from (AXIAL/BENDING) load]]="AXIAL",Tabella2[[#This Row],[Mean AXIAL stress  (MPa)]]*Tabella2[[#This Row],[Area (mm^2)]],"Null"), "")</f>
        <v>2819.6455669097359</v>
      </c>
      <c r="AK79" s="29">
        <f>IF(ISNUMBER(Tabella2[[#This Row],[Amplitute AXIAL stress  (MPa)]]),    IF(Tabella2[[#This Row],[derived from (AXIAL/BENDING) load]]="AXIAL",Tabella2[[#This Row],[Amplitute AXIAL stress  (MPa)]]*Tabella2[[#This Row],[Area (mm^2)]],"Null"), "")</f>
        <v>2819.6455669097359</v>
      </c>
      <c r="AL79" s="29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Row],[Bending moment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Row],[Bending moment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Row],[Bending moment of inertia (mm^4)]]/(Tabella2[[#This Row],[B (mm)]]*0.5),"Null"))),"")</f>
        <v>Null</v>
      </c>
      <c r="AM79" s="29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Row],[Bending moment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Row],[Bending moment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Row],[Bending moment of inertia (mm^4)]]/(Tabella2[[#This Row],[B (mm)]]*0.5),"Null"))), "")</f>
        <v>Null</v>
      </c>
      <c r="AN79" s="29">
        <f>IF(ISNUMBER(Tabella2[[#This Row],[Mean SHEAR stress  (MPa)]]),  IF(AND(ISNUMBER(Tabella2[[#This Row],[Mean SHEAR stress  (MPa)]]), ISNUMBER(Tabella2[[#This Row],[Torsional moment of inertia (mm^4)]]), ISNUMBER(Tabella2[[#This Row],[Diameter (mm)]])), Tabella2[[#This Row],[Mean SHEAR stress  (MPa)]]*Tabella2[[#This Row],[Torsional moment of inertia (mm^4)]]/(0.5*Tabella2[[#This Row],[Diameter (mm)]]),"Null"), " ")</f>
        <v>0</v>
      </c>
      <c r="AO79" s="23">
        <f>IF(ISNUMBER(Tabella2[[#This Row],[Amplitute SHEAR stress  (MPa)]]), IF(AND(ISNUMBER(Tabella2[[#This Row],[Amplitute SHEAR stress  (MPa)]]), ISNUMBER(Tabella2[[#This Row],[Torsional moment of inertia (mm^4)]]), ISNUMBER(Tabella2[[#This Row],[Diameter (mm)]])),Tabella2[[#This Row],[Amplitute SHEAR stress  (MPa)]]*Tabella2[[#This Row],[Torsional moment of inertia (mm^4)]]/(0.5*Tabella2[[#This Row],[Diameter (mm)]]),"Null"), "")</f>
        <v>0</v>
      </c>
      <c r="AP79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79" s="4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224.38026487041699</v>
      </c>
    </row>
    <row r="80" spans="1:43" ht="20" customHeight="1" x14ac:dyDescent="0.2">
      <c r="A80" s="1" t="s">
        <v>94</v>
      </c>
      <c r="B80" s="1">
        <v>2024</v>
      </c>
      <c r="C80" s="1" t="s">
        <v>97</v>
      </c>
      <c r="D80" s="1" t="s">
        <v>150</v>
      </c>
      <c r="E80" s="28">
        <v>242231.351892637</v>
      </c>
      <c r="F80" s="1" t="s">
        <v>20</v>
      </c>
      <c r="G80" s="21" t="s">
        <v>99</v>
      </c>
      <c r="H80" s="1" t="e" vm="8">
        <v>#VALUE!</v>
      </c>
      <c r="I80" s="1" t="s">
        <v>27</v>
      </c>
      <c r="J80" s="1" t="s">
        <v>20</v>
      </c>
      <c r="K80" s="1" t="s">
        <v>21</v>
      </c>
      <c r="L80" s="1" t="s">
        <v>21</v>
      </c>
      <c r="M80" s="1">
        <v>0</v>
      </c>
      <c r="N80" s="1">
        <v>4</v>
      </c>
      <c r="O80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12.566370614359172</v>
      </c>
      <c r="P80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12.566370614359172</v>
      </c>
      <c r="Q80" s="2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25.132741228718345</v>
      </c>
      <c r="R80" s="1">
        <v>0</v>
      </c>
      <c r="S80" s="1">
        <v>0</v>
      </c>
      <c r="T80" s="1">
        <v>0</v>
      </c>
      <c r="U80" s="28">
        <v>8</v>
      </c>
      <c r="V80" s="28">
        <v>8</v>
      </c>
      <c r="W80" s="28">
        <v>8</v>
      </c>
      <c r="X80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80" s="1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</v>
      </c>
      <c r="Z80" s="1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80" s="49">
        <v>0</v>
      </c>
      <c r="AB80" s="29">
        <v>0</v>
      </c>
      <c r="AC80" s="14">
        <v>209.739692547478</v>
      </c>
      <c r="AD80" s="29">
        <v>209.739692547478</v>
      </c>
      <c r="AE80" s="33" t="s">
        <v>58</v>
      </c>
      <c r="AF80" s="29">
        <v>0</v>
      </c>
      <c r="AG80" s="23">
        <v>0</v>
      </c>
      <c r="AH80" s="29">
        <f>IF(ISNUMBER(Tabella2[[#This Row],[Mean RADIAL stress  (MPa)]]), Tabella2[[#This Row],[Mean RADIAL stress  (MPa)]],"")</f>
        <v>0</v>
      </c>
      <c r="AI80" s="29">
        <f>IF(ISNUMBER(Tabella2[[#This Row],[Amplitute RADIAL stress  (MPa)]]), Tabella2[[#This Row],[Amplitute RADIAL stress  (MPa)]],"")</f>
        <v>0</v>
      </c>
      <c r="AJ80" s="29">
        <f>IF(ISNUMBER(Tabella2[[#This Row],[Mean AXIAL stress  (MPa)]]), IF(Tabella2[[#This Row],[derived from (AXIAL/BENDING) load]]="AXIAL",Tabella2[[#This Row],[Mean AXIAL stress  (MPa)]]*Tabella2[[#This Row],[Area (mm^2)]],"Null"), "")</f>
        <v>2635.6667090933552</v>
      </c>
      <c r="AK80" s="29">
        <f>IF(ISNUMBER(Tabella2[[#This Row],[Amplitute AXIAL stress  (MPa)]]),    IF(Tabella2[[#This Row],[derived from (AXIAL/BENDING) load]]="AXIAL",Tabella2[[#This Row],[Amplitute AXIAL stress  (MPa)]]*Tabella2[[#This Row],[Area (mm^2)]],"Null"), "")</f>
        <v>2635.6667090933552</v>
      </c>
      <c r="AL80" s="29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Row],[Bending moment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Row],[Bending moment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Row],[Bending moment of inertia (mm^4)]]/(Tabella2[[#This Row],[B (mm)]]*0.5),"Null"))),"")</f>
        <v>Null</v>
      </c>
      <c r="AM80" s="29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Row],[Bending moment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Row],[Bending moment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Row],[Bending moment of inertia (mm^4)]]/(Tabella2[[#This Row],[B (mm)]]*0.5),"Null"))), "")</f>
        <v>Null</v>
      </c>
      <c r="AN80" s="29">
        <f>IF(ISNUMBER(Tabella2[[#This Row],[Mean SHEAR stress  (MPa)]]),  IF(AND(ISNUMBER(Tabella2[[#This Row],[Mean SHEAR stress  (MPa)]]), ISNUMBER(Tabella2[[#This Row],[Torsional moment of inertia (mm^4)]]), ISNUMBER(Tabella2[[#This Row],[Diameter (mm)]])), Tabella2[[#This Row],[Mean SHEAR stress  (MPa)]]*Tabella2[[#This Row],[Torsional moment of inertia (mm^4)]]/(0.5*Tabella2[[#This Row],[Diameter (mm)]]),"Null"), " ")</f>
        <v>0</v>
      </c>
      <c r="AO80" s="23">
        <f>IF(ISNUMBER(Tabella2[[#This Row],[Amplitute SHEAR stress  (MPa)]]), IF(AND(ISNUMBER(Tabella2[[#This Row],[Amplitute SHEAR stress  (MPa)]]), ISNUMBER(Tabella2[[#This Row],[Torsional moment of inertia (mm^4)]]), ISNUMBER(Tabella2[[#This Row],[Diameter (mm)]])),Tabella2[[#This Row],[Amplitute SHEAR stress  (MPa)]]*Tabella2[[#This Row],[Torsional moment of inertia (mm^4)]]/(0.5*Tabella2[[#This Row],[Diameter (mm)]]),"Null"), "")</f>
        <v>0</v>
      </c>
      <c r="AP80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80" s="4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209.739692547478</v>
      </c>
    </row>
    <row r="81" spans="1:43" ht="20" customHeight="1" x14ac:dyDescent="0.2">
      <c r="A81" s="1" t="s">
        <v>94</v>
      </c>
      <c r="B81" s="1">
        <v>2024</v>
      </c>
      <c r="C81" s="1" t="s">
        <v>97</v>
      </c>
      <c r="D81" s="1" t="s">
        <v>151</v>
      </c>
      <c r="E81" s="28">
        <v>448190.98851836799</v>
      </c>
      <c r="F81" s="1" t="s">
        <v>20</v>
      </c>
      <c r="G81" s="21" t="s">
        <v>99</v>
      </c>
      <c r="H81" s="1" t="e" vm="8">
        <v>#VALUE!</v>
      </c>
      <c r="I81" s="1" t="s">
        <v>27</v>
      </c>
      <c r="J81" s="1" t="s">
        <v>20</v>
      </c>
      <c r="K81" s="1" t="s">
        <v>21</v>
      </c>
      <c r="L81" s="1" t="s">
        <v>21</v>
      </c>
      <c r="M81" s="1">
        <v>0</v>
      </c>
      <c r="N81" s="1">
        <v>4</v>
      </c>
      <c r="O81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12.566370614359172</v>
      </c>
      <c r="P81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12.566370614359172</v>
      </c>
      <c r="Q81" s="2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25.132741228718345</v>
      </c>
      <c r="R81" s="1">
        <v>0</v>
      </c>
      <c r="S81" s="1">
        <v>0</v>
      </c>
      <c r="T81" s="1">
        <v>0</v>
      </c>
      <c r="U81" s="28">
        <v>8</v>
      </c>
      <c r="V81" s="28">
        <v>8</v>
      </c>
      <c r="W81" s="28">
        <v>8</v>
      </c>
      <c r="X81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81" s="1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</v>
      </c>
      <c r="Z81" s="1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81" s="49">
        <v>0</v>
      </c>
      <c r="AB81" s="29">
        <v>0</v>
      </c>
      <c r="AC81" s="14">
        <v>226.28077630597551</v>
      </c>
      <c r="AD81" s="29">
        <v>226.28077630597551</v>
      </c>
      <c r="AE81" s="33" t="s">
        <v>58</v>
      </c>
      <c r="AF81" s="29">
        <v>0</v>
      </c>
      <c r="AG81" s="23">
        <v>0</v>
      </c>
      <c r="AH81" s="29">
        <f>IF(ISNUMBER(Tabella2[[#This Row],[Mean RADIAL stress  (MPa)]]), Tabella2[[#This Row],[Mean RADIAL stress  (MPa)]],"")</f>
        <v>0</v>
      </c>
      <c r="AI81" s="29">
        <f>IF(ISNUMBER(Tabella2[[#This Row],[Amplitute RADIAL stress  (MPa)]]), Tabella2[[#This Row],[Amplitute RADIAL stress  (MPa)]],"")</f>
        <v>0</v>
      </c>
      <c r="AJ81" s="29">
        <f>IF(ISNUMBER(Tabella2[[#This Row],[Mean AXIAL stress  (MPa)]]), IF(Tabella2[[#This Row],[derived from (AXIAL/BENDING) load]]="AXIAL",Tabella2[[#This Row],[Mean AXIAL stress  (MPa)]]*Tabella2[[#This Row],[Area (mm^2)]],"Null"), "")</f>
        <v>2843.5280979657919</v>
      </c>
      <c r="AK81" s="29">
        <f>IF(ISNUMBER(Tabella2[[#This Row],[Amplitute AXIAL stress  (MPa)]]),    IF(Tabella2[[#This Row],[derived from (AXIAL/BENDING) load]]="AXIAL",Tabella2[[#This Row],[Amplitute AXIAL stress  (MPa)]]*Tabella2[[#This Row],[Area (mm^2)]],"Null"), "")</f>
        <v>2843.5280979657919</v>
      </c>
      <c r="AL81" s="29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Row],[Bending moment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Row],[Bending moment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Row],[Bending moment of inertia (mm^4)]]/(Tabella2[[#This Row],[B (mm)]]*0.5),"Null"))),"")</f>
        <v>Null</v>
      </c>
      <c r="AM81" s="29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Row],[Bending moment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Row],[Bending moment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Row],[Bending moment of inertia (mm^4)]]/(Tabella2[[#This Row],[B (mm)]]*0.5),"Null"))), "")</f>
        <v>Null</v>
      </c>
      <c r="AN81" s="29">
        <f>IF(ISNUMBER(Tabella2[[#This Row],[Mean SHEAR stress  (MPa)]]),  IF(AND(ISNUMBER(Tabella2[[#This Row],[Mean SHEAR stress  (MPa)]]), ISNUMBER(Tabella2[[#This Row],[Torsional moment of inertia (mm^4)]]), ISNUMBER(Tabella2[[#This Row],[Diameter (mm)]])), Tabella2[[#This Row],[Mean SHEAR stress  (MPa)]]*Tabella2[[#This Row],[Torsional moment of inertia (mm^4)]]/(0.5*Tabella2[[#This Row],[Diameter (mm)]]),"Null"), " ")</f>
        <v>0</v>
      </c>
      <c r="AO81" s="23">
        <f>IF(ISNUMBER(Tabella2[[#This Row],[Amplitute SHEAR stress  (MPa)]]), IF(AND(ISNUMBER(Tabella2[[#This Row],[Amplitute SHEAR stress  (MPa)]]), ISNUMBER(Tabella2[[#This Row],[Torsional moment of inertia (mm^4)]]), ISNUMBER(Tabella2[[#This Row],[Diameter (mm)]])),Tabella2[[#This Row],[Amplitute SHEAR stress  (MPa)]]*Tabella2[[#This Row],[Torsional moment of inertia (mm^4)]]/(0.5*Tabella2[[#This Row],[Diameter (mm)]]),"Null"), "")</f>
        <v>0</v>
      </c>
      <c r="AP81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81" s="4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226.28077630597551</v>
      </c>
    </row>
    <row r="82" spans="1:43" ht="20" customHeight="1" x14ac:dyDescent="0.2">
      <c r="A82" s="1" t="s">
        <v>94</v>
      </c>
      <c r="B82" s="1">
        <v>2024</v>
      </c>
      <c r="C82" s="1" t="s">
        <v>97</v>
      </c>
      <c r="D82" s="1" t="s">
        <v>152</v>
      </c>
      <c r="E82" s="28">
        <v>589889.81233492901</v>
      </c>
      <c r="F82" s="1" t="s">
        <v>20</v>
      </c>
      <c r="G82" s="21" t="s">
        <v>99</v>
      </c>
      <c r="H82" s="1" t="e" vm="8">
        <v>#VALUE!</v>
      </c>
      <c r="I82" s="1" t="s">
        <v>27</v>
      </c>
      <c r="J82" s="1" t="s">
        <v>20</v>
      </c>
      <c r="K82" s="1" t="s">
        <v>21</v>
      </c>
      <c r="L82" s="1" t="s">
        <v>21</v>
      </c>
      <c r="M82" s="1">
        <v>0</v>
      </c>
      <c r="N82" s="1">
        <v>4</v>
      </c>
      <c r="O82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12.566370614359172</v>
      </c>
      <c r="P82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12.566370614359172</v>
      </c>
      <c r="Q82" s="2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25.132741228718345</v>
      </c>
      <c r="R82" s="1">
        <v>0</v>
      </c>
      <c r="S82" s="1">
        <v>0</v>
      </c>
      <c r="T82" s="1">
        <v>0</v>
      </c>
      <c r="U82" s="28">
        <v>8</v>
      </c>
      <c r="V82" s="28">
        <v>8</v>
      </c>
      <c r="W82" s="28">
        <v>8</v>
      </c>
      <c r="X82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82" s="1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</v>
      </c>
      <c r="Z82" s="1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82" s="49">
        <v>0</v>
      </c>
      <c r="AB82" s="29">
        <v>0</v>
      </c>
      <c r="AC82" s="14">
        <v>225.32851688727351</v>
      </c>
      <c r="AD82" s="29">
        <v>225.32851688727351</v>
      </c>
      <c r="AE82" s="33" t="s">
        <v>58</v>
      </c>
      <c r="AF82" s="29">
        <v>0</v>
      </c>
      <c r="AG82" s="23">
        <v>0</v>
      </c>
      <c r="AH82" s="29">
        <f>IF(ISNUMBER(Tabella2[[#This Row],[Mean RADIAL stress  (MPa)]]), Tabella2[[#This Row],[Mean RADIAL stress  (MPa)]],"")</f>
        <v>0</v>
      </c>
      <c r="AI82" s="29">
        <f>IF(ISNUMBER(Tabella2[[#This Row],[Amplitute RADIAL stress  (MPa)]]), Tabella2[[#This Row],[Amplitute RADIAL stress  (MPa)]],"")</f>
        <v>0</v>
      </c>
      <c r="AJ82" s="29">
        <f>IF(ISNUMBER(Tabella2[[#This Row],[Mean AXIAL stress  (MPa)]]), IF(Tabella2[[#This Row],[derived from (AXIAL/BENDING) load]]="AXIAL",Tabella2[[#This Row],[Mean AXIAL stress  (MPa)]]*Tabella2[[#This Row],[Area (mm^2)]],"Null"), "")</f>
        <v>2831.5616531893684</v>
      </c>
      <c r="AK82" s="29">
        <f>IF(ISNUMBER(Tabella2[[#This Row],[Amplitute AXIAL stress  (MPa)]]),    IF(Tabella2[[#This Row],[derived from (AXIAL/BENDING) load]]="AXIAL",Tabella2[[#This Row],[Amplitute AXIAL stress  (MPa)]]*Tabella2[[#This Row],[Area (mm^2)]],"Null"), "")</f>
        <v>2831.5616531893684</v>
      </c>
      <c r="AL82" s="29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Row],[Bending moment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Row],[Bending moment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Row],[Bending moment of inertia (mm^4)]]/(Tabella2[[#This Row],[B (mm)]]*0.5),"Null"))),"")</f>
        <v>Null</v>
      </c>
      <c r="AM82" s="29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Row],[Bending moment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Row],[Bending moment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Row],[Bending moment of inertia (mm^4)]]/(Tabella2[[#This Row],[B (mm)]]*0.5),"Null"))), "")</f>
        <v>Null</v>
      </c>
      <c r="AN82" s="29">
        <f>IF(ISNUMBER(Tabella2[[#This Row],[Mean SHEAR stress  (MPa)]]),  IF(AND(ISNUMBER(Tabella2[[#This Row],[Mean SHEAR stress  (MPa)]]), ISNUMBER(Tabella2[[#This Row],[Torsional moment of inertia (mm^4)]]), ISNUMBER(Tabella2[[#This Row],[Diameter (mm)]])), Tabella2[[#This Row],[Mean SHEAR stress  (MPa)]]*Tabella2[[#This Row],[Torsional moment of inertia (mm^4)]]/(0.5*Tabella2[[#This Row],[Diameter (mm)]]),"Null"), " ")</f>
        <v>0</v>
      </c>
      <c r="AO82" s="23">
        <f>IF(ISNUMBER(Tabella2[[#This Row],[Amplitute SHEAR stress  (MPa)]]), IF(AND(ISNUMBER(Tabella2[[#This Row],[Amplitute SHEAR stress  (MPa)]]), ISNUMBER(Tabella2[[#This Row],[Torsional moment of inertia (mm^4)]]), ISNUMBER(Tabella2[[#This Row],[Diameter (mm)]])),Tabella2[[#This Row],[Amplitute SHEAR stress  (MPa)]]*Tabella2[[#This Row],[Torsional moment of inertia (mm^4)]]/(0.5*Tabella2[[#This Row],[Diameter (mm)]]),"Null"), "")</f>
        <v>0</v>
      </c>
      <c r="AP82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82" s="4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225.32851688727351</v>
      </c>
    </row>
    <row r="83" spans="1:43" ht="20" customHeight="1" x14ac:dyDescent="0.2">
      <c r="A83" s="1" t="s">
        <v>94</v>
      </c>
      <c r="B83" s="1">
        <v>2024</v>
      </c>
      <c r="C83" s="1" t="s">
        <v>97</v>
      </c>
      <c r="D83" s="1" t="s">
        <v>153</v>
      </c>
      <c r="E83" s="28">
        <v>613487.81895109196</v>
      </c>
      <c r="F83" s="1" t="s">
        <v>20</v>
      </c>
      <c r="G83" s="21" t="s">
        <v>99</v>
      </c>
      <c r="H83" s="1" t="e" vm="8">
        <v>#VALUE!</v>
      </c>
      <c r="I83" s="1" t="s">
        <v>27</v>
      </c>
      <c r="J83" s="1" t="s">
        <v>20</v>
      </c>
      <c r="K83" s="1" t="s">
        <v>21</v>
      </c>
      <c r="L83" s="1" t="s">
        <v>21</v>
      </c>
      <c r="M83" s="1">
        <v>0</v>
      </c>
      <c r="N83" s="1">
        <v>4</v>
      </c>
      <c r="O83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12.566370614359172</v>
      </c>
      <c r="P83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12.566370614359172</v>
      </c>
      <c r="Q83" s="2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25.132741228718345</v>
      </c>
      <c r="R83" s="1">
        <v>0</v>
      </c>
      <c r="S83" s="1">
        <v>0</v>
      </c>
      <c r="T83" s="1">
        <v>0</v>
      </c>
      <c r="U83" s="28">
        <v>8</v>
      </c>
      <c r="V83" s="28">
        <v>8</v>
      </c>
      <c r="W83" s="28">
        <v>8</v>
      </c>
      <c r="X83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83" s="1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</v>
      </c>
      <c r="Z83" s="1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83" s="49">
        <v>0</v>
      </c>
      <c r="AB83" s="29">
        <v>0</v>
      </c>
      <c r="AC83" s="14">
        <v>224.38026487041699</v>
      </c>
      <c r="AD83" s="29">
        <v>224.38026487041699</v>
      </c>
      <c r="AE83" s="33" t="s">
        <v>58</v>
      </c>
      <c r="AF83" s="29">
        <v>0</v>
      </c>
      <c r="AG83" s="23">
        <v>0</v>
      </c>
      <c r="AH83" s="29">
        <f>IF(ISNUMBER(Tabella2[[#This Row],[Mean RADIAL stress  (MPa)]]), Tabella2[[#This Row],[Mean RADIAL stress  (MPa)]],"")</f>
        <v>0</v>
      </c>
      <c r="AI83" s="29">
        <f>IF(ISNUMBER(Tabella2[[#This Row],[Amplitute RADIAL stress  (MPa)]]), Tabella2[[#This Row],[Amplitute RADIAL stress  (MPa)]],"")</f>
        <v>0</v>
      </c>
      <c r="AJ83" s="29">
        <f>IF(ISNUMBER(Tabella2[[#This Row],[Mean AXIAL stress  (MPa)]]), IF(Tabella2[[#This Row],[derived from (AXIAL/BENDING) load]]="AXIAL",Tabella2[[#This Row],[Mean AXIAL stress  (MPa)]]*Tabella2[[#This Row],[Area (mm^2)]],"Null"), "")</f>
        <v>2819.6455669097359</v>
      </c>
      <c r="AK83" s="29">
        <f>IF(ISNUMBER(Tabella2[[#This Row],[Amplitute AXIAL stress  (MPa)]]),    IF(Tabella2[[#This Row],[derived from (AXIAL/BENDING) load]]="AXIAL",Tabella2[[#This Row],[Amplitute AXIAL stress  (MPa)]]*Tabella2[[#This Row],[Area (mm^2)]],"Null"), "")</f>
        <v>2819.6455669097359</v>
      </c>
      <c r="AL83" s="29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Row],[Bending moment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Row],[Bending moment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Row],[Bending moment of inertia (mm^4)]]/(Tabella2[[#This Row],[B (mm)]]*0.5),"Null"))),"")</f>
        <v>Null</v>
      </c>
      <c r="AM83" s="29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Row],[Bending moment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Row],[Bending moment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Row],[Bending moment of inertia (mm^4)]]/(Tabella2[[#This Row],[B (mm)]]*0.5),"Null"))), "")</f>
        <v>Null</v>
      </c>
      <c r="AN83" s="29">
        <f>IF(ISNUMBER(Tabella2[[#This Row],[Mean SHEAR stress  (MPa)]]),  IF(AND(ISNUMBER(Tabella2[[#This Row],[Mean SHEAR stress  (MPa)]]), ISNUMBER(Tabella2[[#This Row],[Torsional moment of inertia (mm^4)]]), ISNUMBER(Tabella2[[#This Row],[Diameter (mm)]])), Tabella2[[#This Row],[Mean SHEAR stress  (MPa)]]*Tabella2[[#This Row],[Torsional moment of inertia (mm^4)]]/(0.5*Tabella2[[#This Row],[Diameter (mm)]]),"Null"), " ")</f>
        <v>0</v>
      </c>
      <c r="AO83" s="23">
        <f>IF(ISNUMBER(Tabella2[[#This Row],[Amplitute SHEAR stress  (MPa)]]), IF(AND(ISNUMBER(Tabella2[[#This Row],[Amplitute SHEAR stress  (MPa)]]), ISNUMBER(Tabella2[[#This Row],[Torsional moment of inertia (mm^4)]]), ISNUMBER(Tabella2[[#This Row],[Diameter (mm)]])),Tabella2[[#This Row],[Amplitute SHEAR stress  (MPa)]]*Tabella2[[#This Row],[Torsional moment of inertia (mm^4)]]/(0.5*Tabella2[[#This Row],[Diameter (mm)]]),"Null"), "")</f>
        <v>0</v>
      </c>
      <c r="AP83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83" s="4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224.38026487041699</v>
      </c>
    </row>
    <row r="84" spans="1:43" ht="20" customHeight="1" x14ac:dyDescent="0.2">
      <c r="A84" s="1" t="s">
        <v>94</v>
      </c>
      <c r="B84" s="1">
        <v>2024</v>
      </c>
      <c r="C84" s="1" t="s">
        <v>97</v>
      </c>
      <c r="D84" s="1" t="s">
        <v>154</v>
      </c>
      <c r="E84" s="28">
        <v>1513696.1672995901</v>
      </c>
      <c r="F84" s="1" t="s">
        <v>20</v>
      </c>
      <c r="G84" s="21" t="s">
        <v>99</v>
      </c>
      <c r="H84" s="1" t="e" vm="8">
        <v>#VALUE!</v>
      </c>
      <c r="I84" s="1" t="s">
        <v>27</v>
      </c>
      <c r="J84" s="1" t="s">
        <v>20</v>
      </c>
      <c r="K84" s="1" t="s">
        <v>21</v>
      </c>
      <c r="L84" s="1" t="s">
        <v>21</v>
      </c>
      <c r="M84" s="1">
        <v>0</v>
      </c>
      <c r="N84" s="1">
        <v>4</v>
      </c>
      <c r="O84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12.566370614359172</v>
      </c>
      <c r="P84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12.566370614359172</v>
      </c>
      <c r="Q84" s="2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25.132741228718345</v>
      </c>
      <c r="R84" s="1">
        <v>0</v>
      </c>
      <c r="S84" s="1">
        <v>0</v>
      </c>
      <c r="T84" s="1">
        <v>0</v>
      </c>
      <c r="U84" s="28">
        <v>8</v>
      </c>
      <c r="V84" s="28">
        <v>8</v>
      </c>
      <c r="W84" s="28">
        <v>8</v>
      </c>
      <c r="X84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84" s="1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</v>
      </c>
      <c r="Z84" s="1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84" s="49">
        <v>0</v>
      </c>
      <c r="AB84" s="29">
        <v>0</v>
      </c>
      <c r="AC84" s="14">
        <v>242.07597477585199</v>
      </c>
      <c r="AD84" s="29">
        <v>242.07597477585199</v>
      </c>
      <c r="AE84" s="33" t="s">
        <v>58</v>
      </c>
      <c r="AF84" s="29">
        <v>0</v>
      </c>
      <c r="AG84" s="23">
        <v>0</v>
      </c>
      <c r="AH84" s="29">
        <f>IF(ISNUMBER(Tabella2[[#This Row],[Mean RADIAL stress  (MPa)]]), Tabella2[[#This Row],[Mean RADIAL stress  (MPa)]],"")</f>
        <v>0</v>
      </c>
      <c r="AI84" s="29">
        <f>IF(ISNUMBER(Tabella2[[#This Row],[Amplitute RADIAL stress  (MPa)]]), Tabella2[[#This Row],[Amplitute RADIAL stress  (MPa)]],"")</f>
        <v>0</v>
      </c>
      <c r="AJ84" s="29">
        <f>IF(ISNUMBER(Tabella2[[#This Row],[Mean AXIAL stress  (MPa)]]), IF(Tabella2[[#This Row],[derived from (AXIAL/BENDING) load]]="AXIAL",Tabella2[[#This Row],[Mean AXIAL stress  (MPa)]]*Tabella2[[#This Row],[Area (mm^2)]],"Null"), "")</f>
        <v>3042.0164158656189</v>
      </c>
      <c r="AK84" s="29">
        <f>IF(ISNUMBER(Tabella2[[#This Row],[Amplitute AXIAL stress  (MPa)]]),    IF(Tabella2[[#This Row],[derived from (AXIAL/BENDING) load]]="AXIAL",Tabella2[[#This Row],[Amplitute AXIAL stress  (MPa)]]*Tabella2[[#This Row],[Area (mm^2)]],"Null"), "")</f>
        <v>3042.0164158656189</v>
      </c>
      <c r="AL84" s="29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Row],[Bending moment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Row],[Bending moment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Row],[Bending moment of inertia (mm^4)]]/(Tabella2[[#This Row],[B (mm)]]*0.5),"Null"))),"")</f>
        <v>Null</v>
      </c>
      <c r="AM84" s="29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Row],[Bending moment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Row],[Bending moment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Row],[Bending moment of inertia (mm^4)]]/(Tabella2[[#This Row],[B (mm)]]*0.5),"Null"))), "")</f>
        <v>Null</v>
      </c>
      <c r="AN84" s="29">
        <f>IF(ISNUMBER(Tabella2[[#This Row],[Mean SHEAR stress  (MPa)]]),  IF(AND(ISNUMBER(Tabella2[[#This Row],[Mean SHEAR stress  (MPa)]]), ISNUMBER(Tabella2[[#This Row],[Torsional moment of inertia (mm^4)]]), ISNUMBER(Tabella2[[#This Row],[Diameter (mm)]])), Tabella2[[#This Row],[Mean SHEAR stress  (MPa)]]*Tabella2[[#This Row],[Torsional moment of inertia (mm^4)]]/(0.5*Tabella2[[#This Row],[Diameter (mm)]]),"Null"), " ")</f>
        <v>0</v>
      </c>
      <c r="AO84" s="23">
        <f>IF(ISNUMBER(Tabella2[[#This Row],[Amplitute SHEAR stress  (MPa)]]), IF(AND(ISNUMBER(Tabella2[[#This Row],[Amplitute SHEAR stress  (MPa)]]), ISNUMBER(Tabella2[[#This Row],[Torsional moment of inertia (mm^4)]]), ISNUMBER(Tabella2[[#This Row],[Diameter (mm)]])),Tabella2[[#This Row],[Amplitute SHEAR stress  (MPa)]]*Tabella2[[#This Row],[Torsional moment of inertia (mm^4)]]/(0.5*Tabella2[[#This Row],[Diameter (mm)]]),"Null"), "")</f>
        <v>0</v>
      </c>
      <c r="AP84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84" s="4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242.07597477585199</v>
      </c>
    </row>
    <row r="85" spans="1:43" ht="20" customHeight="1" x14ac:dyDescent="0.2">
      <c r="A85" s="1" t="s">
        <v>94</v>
      </c>
      <c r="B85" s="1">
        <v>2024</v>
      </c>
      <c r="C85" s="1" t="s">
        <v>97</v>
      </c>
      <c r="D85" s="1" t="s">
        <v>155</v>
      </c>
      <c r="E85" s="28">
        <v>10083492.331762001</v>
      </c>
      <c r="F85" s="1" t="s">
        <v>32</v>
      </c>
      <c r="G85" s="21" t="s">
        <v>99</v>
      </c>
      <c r="H85" s="1" t="e" vm="8">
        <v>#VALUE!</v>
      </c>
      <c r="I85" s="1" t="s">
        <v>27</v>
      </c>
      <c r="J85" s="1" t="s">
        <v>20</v>
      </c>
      <c r="K85" s="1" t="s">
        <v>21</v>
      </c>
      <c r="L85" s="1" t="s">
        <v>21</v>
      </c>
      <c r="M85" s="1">
        <v>0</v>
      </c>
      <c r="N85" s="1">
        <v>4</v>
      </c>
      <c r="O85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12.566370614359172</v>
      </c>
      <c r="P85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12.566370614359172</v>
      </c>
      <c r="Q85" s="2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25.132741228718345</v>
      </c>
      <c r="R85" s="1">
        <v>0</v>
      </c>
      <c r="S85" s="1">
        <v>0</v>
      </c>
      <c r="T85" s="1">
        <v>0</v>
      </c>
      <c r="U85" s="28">
        <v>8</v>
      </c>
      <c r="V85" s="28">
        <v>8</v>
      </c>
      <c r="W85" s="28">
        <v>8</v>
      </c>
      <c r="X85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85" s="1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</v>
      </c>
      <c r="Z85" s="1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85" s="49">
        <v>0</v>
      </c>
      <c r="AB85" s="29">
        <v>0</v>
      </c>
      <c r="AC85" s="14">
        <v>215.11447653364851</v>
      </c>
      <c r="AD85" s="29">
        <v>215.11447653364851</v>
      </c>
      <c r="AE85" s="33" t="s">
        <v>58</v>
      </c>
      <c r="AF85" s="29">
        <v>0</v>
      </c>
      <c r="AG85" s="23">
        <v>0</v>
      </c>
      <c r="AH85" s="29">
        <f>IF(ISNUMBER(Tabella2[[#This Row],[Mean RADIAL stress  (MPa)]]), Tabella2[[#This Row],[Mean RADIAL stress  (MPa)]],"")</f>
        <v>0</v>
      </c>
      <c r="AI85" s="29">
        <f>IF(ISNUMBER(Tabella2[[#This Row],[Amplitute RADIAL stress  (MPa)]]), Tabella2[[#This Row],[Amplitute RADIAL stress  (MPa)]],"")</f>
        <v>0</v>
      </c>
      <c r="AJ85" s="29">
        <f>IF(ISNUMBER(Tabella2[[#This Row],[Mean AXIAL stress  (MPa)]]), IF(Tabella2[[#This Row],[derived from (AXIAL/BENDING) load]]="AXIAL",Tabella2[[#This Row],[Mean AXIAL stress  (MPa)]]*Tabella2[[#This Row],[Area (mm^2)]],"Null"), "")</f>
        <v>2703.2082366356963</v>
      </c>
      <c r="AK85" s="29">
        <f>IF(ISNUMBER(Tabella2[[#This Row],[Amplitute AXIAL stress  (MPa)]]),    IF(Tabella2[[#This Row],[derived from (AXIAL/BENDING) load]]="AXIAL",Tabella2[[#This Row],[Amplitute AXIAL stress  (MPa)]]*Tabella2[[#This Row],[Area (mm^2)]],"Null"), "")</f>
        <v>2703.2082366356963</v>
      </c>
      <c r="AL85" s="29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Row],[Bending moment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Row],[Bending moment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Row],[Bending moment of inertia (mm^4)]]/(Tabella2[[#This Row],[B (mm)]]*0.5),"Null"))),"")</f>
        <v>Null</v>
      </c>
      <c r="AM85" s="29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Row],[Bending moment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Row],[Bending moment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Row],[Bending moment of inertia (mm^4)]]/(Tabella2[[#This Row],[B (mm)]]*0.5),"Null"))), "")</f>
        <v>Null</v>
      </c>
      <c r="AN85" s="29">
        <f>IF(ISNUMBER(Tabella2[[#This Row],[Mean SHEAR stress  (MPa)]]),  IF(AND(ISNUMBER(Tabella2[[#This Row],[Mean SHEAR stress  (MPa)]]), ISNUMBER(Tabella2[[#This Row],[Torsional moment of inertia (mm^4)]]), ISNUMBER(Tabella2[[#This Row],[Diameter (mm)]])), Tabella2[[#This Row],[Mean SHEAR stress  (MPa)]]*Tabella2[[#This Row],[Torsional moment of inertia (mm^4)]]/(0.5*Tabella2[[#This Row],[Diameter (mm)]]),"Null"), " ")</f>
        <v>0</v>
      </c>
      <c r="AO85" s="23">
        <f>IF(ISNUMBER(Tabella2[[#This Row],[Amplitute SHEAR stress  (MPa)]]), IF(AND(ISNUMBER(Tabella2[[#This Row],[Amplitute SHEAR stress  (MPa)]]), ISNUMBER(Tabella2[[#This Row],[Torsional moment of inertia (mm^4)]]), ISNUMBER(Tabella2[[#This Row],[Diameter (mm)]])),Tabella2[[#This Row],[Amplitute SHEAR stress  (MPa)]]*Tabella2[[#This Row],[Torsional moment of inertia (mm^4)]]/(0.5*Tabella2[[#This Row],[Diameter (mm)]]),"Null"), "")</f>
        <v>0</v>
      </c>
      <c r="AP85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85" s="4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215.11447653364851</v>
      </c>
    </row>
    <row r="86" spans="1:43" ht="20" customHeight="1" x14ac:dyDescent="0.2">
      <c r="A86" s="1" t="s">
        <v>94</v>
      </c>
      <c r="B86" s="1">
        <v>2024</v>
      </c>
      <c r="C86" s="1" t="s">
        <v>97</v>
      </c>
      <c r="D86" s="1" t="s">
        <v>156</v>
      </c>
      <c r="E86" s="28">
        <v>10080834.9325461</v>
      </c>
      <c r="F86" s="1" t="s">
        <v>32</v>
      </c>
      <c r="G86" s="21" t="s">
        <v>99</v>
      </c>
      <c r="H86" s="1" t="e" vm="8">
        <v>#VALUE!</v>
      </c>
      <c r="I86" s="1" t="s">
        <v>27</v>
      </c>
      <c r="J86" s="1" t="s">
        <v>20</v>
      </c>
      <c r="K86" s="1" t="s">
        <v>21</v>
      </c>
      <c r="L86" s="1" t="s">
        <v>21</v>
      </c>
      <c r="M86" s="1">
        <v>0</v>
      </c>
      <c r="N86" s="1">
        <v>4</v>
      </c>
      <c r="O86" s="2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12.566370614359172</v>
      </c>
      <c r="P86" s="2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12.566370614359172</v>
      </c>
      <c r="Q86" s="2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25.132741228718345</v>
      </c>
      <c r="R86" s="1">
        <v>0</v>
      </c>
      <c r="S86" s="1">
        <v>0</v>
      </c>
      <c r="T86" s="1">
        <v>0</v>
      </c>
      <c r="U86" s="28">
        <v>8</v>
      </c>
      <c r="V86" s="28">
        <v>8</v>
      </c>
      <c r="W86" s="28">
        <v>8</v>
      </c>
      <c r="X86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86" s="1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</v>
      </c>
      <c r="Z86" s="1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86" s="49">
        <v>0</v>
      </c>
      <c r="AB86" s="29">
        <v>0</v>
      </c>
      <c r="AC86" s="14">
        <v>205.363434036618</v>
      </c>
      <c r="AD86" s="29">
        <v>205.363434036618</v>
      </c>
      <c r="AE86" s="33" t="s">
        <v>58</v>
      </c>
      <c r="AF86" s="29">
        <v>0</v>
      </c>
      <c r="AG86" s="23">
        <v>0</v>
      </c>
      <c r="AH86" s="29">
        <f>IF(ISNUMBER(Tabella2[[#This Row],[Mean RADIAL stress  (MPa)]]), Tabella2[[#This Row],[Mean RADIAL stress  (MPa)]],"")</f>
        <v>0</v>
      </c>
      <c r="AI86" s="29">
        <f>IF(ISNUMBER(Tabella2[[#This Row],[Amplitute RADIAL stress  (MPa)]]), Tabella2[[#This Row],[Amplitute RADIAL stress  (MPa)]],"")</f>
        <v>0</v>
      </c>
      <c r="AJ86" s="29">
        <f>IF(ISNUMBER(Tabella2[[#This Row],[Mean AXIAL stress  (MPa)]]), IF(Tabella2[[#This Row],[derived from (AXIAL/BENDING) load]]="AXIAL",Tabella2[[#This Row],[Mean AXIAL stress  (MPa)]]*Tabella2[[#This Row],[Area (mm^2)]],"Null"), "")</f>
        <v>2580.6730227416447</v>
      </c>
      <c r="AK86" s="29">
        <f>IF(ISNUMBER(Tabella2[[#This Row],[Amplitute AXIAL stress  (MPa)]]),    IF(Tabella2[[#This Row],[derived from (AXIAL/BENDING) load]]="AXIAL",Tabella2[[#This Row],[Amplitute AXIAL stress  (MPa)]]*Tabella2[[#This Row],[Area (mm^2)]],"Null"), "")</f>
        <v>2580.6730227416447</v>
      </c>
      <c r="AL86" s="29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Row],[Bending moment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Row],[Bending moment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Row],[Bending moment of inertia (mm^4)]]/(Tabella2[[#This Row],[B (mm)]]*0.5),"Null"))),"")</f>
        <v>Null</v>
      </c>
      <c r="AM86" s="29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Row],[Bending moment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Row],[Bending moment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Row],[Bending moment of inertia (mm^4)]]/(Tabella2[[#This Row],[B (mm)]]*0.5),"Null"))), "")</f>
        <v>Null</v>
      </c>
      <c r="AN86" s="29">
        <f>IF(ISNUMBER(Tabella2[[#This Row],[Mean SHEAR stress  (MPa)]]),  IF(AND(ISNUMBER(Tabella2[[#This Row],[Mean SHEAR stress  (MPa)]]), ISNUMBER(Tabella2[[#This Row],[Torsional moment of inertia (mm^4)]]), ISNUMBER(Tabella2[[#This Row],[Diameter (mm)]])), Tabella2[[#This Row],[Mean SHEAR stress  (MPa)]]*Tabella2[[#This Row],[Torsional moment of inertia (mm^4)]]/(0.5*Tabella2[[#This Row],[Diameter (mm)]]),"Null"), " ")</f>
        <v>0</v>
      </c>
      <c r="AO86" s="23">
        <f>IF(ISNUMBER(Tabella2[[#This Row],[Amplitute SHEAR stress  (MPa)]]), IF(AND(ISNUMBER(Tabella2[[#This Row],[Amplitute SHEAR stress  (MPa)]]), ISNUMBER(Tabella2[[#This Row],[Torsional moment of inertia (mm^4)]]), ISNUMBER(Tabella2[[#This Row],[Diameter (mm)]])),Tabella2[[#This Row],[Amplitute SHEAR stress  (MPa)]]*Tabella2[[#This Row],[Torsional moment of inertia (mm^4)]]/(0.5*Tabella2[[#This Row],[Diameter (mm)]]),"Null"), "")</f>
        <v>0</v>
      </c>
      <c r="AP86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86" s="4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205.363434036618</v>
      </c>
    </row>
    <row r="87" spans="1:43" s="17" customFormat="1" ht="20" customHeight="1" thickBot="1" x14ac:dyDescent="0.25">
      <c r="A87" s="17" t="s">
        <v>94</v>
      </c>
      <c r="B87" s="17">
        <v>2024</v>
      </c>
      <c r="C87" s="17" t="s">
        <v>97</v>
      </c>
      <c r="D87" s="17" t="s">
        <v>157</v>
      </c>
      <c r="E87" s="18">
        <v>9947900.5566510092</v>
      </c>
      <c r="F87" s="17" t="s">
        <v>32</v>
      </c>
      <c r="G87" s="22" t="s">
        <v>99</v>
      </c>
      <c r="H87" s="17" t="e" vm="8">
        <v>#VALUE!</v>
      </c>
      <c r="I87" s="17" t="s">
        <v>27</v>
      </c>
      <c r="J87" s="17" t="s">
        <v>20</v>
      </c>
      <c r="K87" s="17" t="s">
        <v>21</v>
      </c>
      <c r="L87" s="17" t="s">
        <v>21</v>
      </c>
      <c r="M87" s="17">
        <v>0</v>
      </c>
      <c r="N87" s="17">
        <v>4</v>
      </c>
      <c r="O87" s="1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12.566370614359172</v>
      </c>
      <c r="P87" s="1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12.566370614359172</v>
      </c>
      <c r="Q87" s="36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25.132741228718345</v>
      </c>
      <c r="R87" s="17">
        <v>0</v>
      </c>
      <c r="S87" s="17">
        <v>0</v>
      </c>
      <c r="T87" s="17">
        <v>0</v>
      </c>
      <c r="U87" s="18">
        <v>8</v>
      </c>
      <c r="V87" s="18">
        <v>8</v>
      </c>
      <c r="W87" s="18">
        <v>8</v>
      </c>
      <c r="X87" s="17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87" s="17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</v>
      </c>
      <c r="Z87" s="17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87" s="51">
        <v>0</v>
      </c>
      <c r="AB87" s="19">
        <v>0</v>
      </c>
      <c r="AC87" s="20">
        <v>198.550554026415</v>
      </c>
      <c r="AD87" s="19">
        <v>198.550554026415</v>
      </c>
      <c r="AE87" s="34" t="s">
        <v>58</v>
      </c>
      <c r="AF87" s="19">
        <v>0</v>
      </c>
      <c r="AG87" s="40">
        <v>0</v>
      </c>
      <c r="AH87" s="19">
        <f>IF(ISNUMBER(Tabella2[[#This Row],[Mean RADIAL stress  (MPa)]]), Tabella2[[#This Row],[Mean RADIAL stress  (MPa)]],"")</f>
        <v>0</v>
      </c>
      <c r="AI87" s="19">
        <f>IF(ISNUMBER(Tabella2[[#This Row],[Amplitute RADIAL stress  (MPa)]]), Tabella2[[#This Row],[Amplitute RADIAL stress  (MPa)]],"")</f>
        <v>0</v>
      </c>
      <c r="AJ87" s="19">
        <f>IF(ISNUMBER(Tabella2[[#This Row],[Mean AXIAL stress  (MPa)]]), IF(Tabella2[[#This Row],[derived from (AXIAL/BENDING) load]]="AXIAL",Tabella2[[#This Row],[Mean AXIAL stress  (MPa)]]*Tabella2[[#This Row],[Area (mm^2)]],"Null"), "")</f>
        <v>2495.0598475822749</v>
      </c>
      <c r="AK87" s="19">
        <f>IF(ISNUMBER(Tabella2[[#This Row],[Amplitute AXIAL stress  (MPa)]]),    IF(Tabella2[[#This Row],[derived from (AXIAL/BENDING) load]]="AXIAL",Tabella2[[#This Row],[Amplitute AXIAL stress  (MPa)]]*Tabella2[[#This Row],[Area (mm^2)]],"Null"), "")</f>
        <v>2495.0598475822749</v>
      </c>
      <c r="AL87" s="19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Row],[Bending moment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Row],[Bending moment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Row],[Bending moment of inertia (mm^4)]]/(Tabella2[[#This Row],[B (mm)]]*0.5),"Null"))),"")</f>
        <v>Null</v>
      </c>
      <c r="AM87" s="19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Row],[Bending moment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Row],[Bending moment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Row],[Bending moment of inertia (mm^4)]]/(Tabella2[[#This Row],[B (mm)]]*0.5),"Null"))), "")</f>
        <v>Null</v>
      </c>
      <c r="AN87" s="19">
        <f>IF(ISNUMBER(Tabella2[[#This Row],[Mean SHEAR stress  (MPa)]]),  IF(AND(ISNUMBER(Tabella2[[#This Row],[Mean SHEAR stress  (MPa)]]), ISNUMBER(Tabella2[[#This Row],[Torsional moment of inertia (mm^4)]]), ISNUMBER(Tabella2[[#This Row],[Diameter (mm)]])), Tabella2[[#This Row],[Mean SHEAR stress  (MPa)]]*Tabella2[[#This Row],[Torsional moment of inertia (mm^4)]]/(0.5*Tabella2[[#This Row],[Diameter (mm)]]),"Null"), " ")</f>
        <v>0</v>
      </c>
      <c r="AO87" s="40">
        <f>IF(ISNUMBER(Tabella2[[#This Row],[Amplitute SHEAR stress  (MPa)]]), IF(AND(ISNUMBER(Tabella2[[#This Row],[Amplitute SHEAR stress  (MPa)]]), ISNUMBER(Tabella2[[#This Row],[Torsional moment of inertia (mm^4)]]), ISNUMBER(Tabella2[[#This Row],[Diameter (mm)]])),Tabella2[[#This Row],[Amplitute SHEAR stress  (MPa)]]*Tabella2[[#This Row],[Torsional moment of inertia (mm^4)]]/(0.5*Tabella2[[#This Row],[Diameter (mm)]]),"Null"), "")</f>
        <v>0</v>
      </c>
      <c r="AP87" s="56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87" s="42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198.550554026415</v>
      </c>
    </row>
    <row r="88" spans="1:43" x14ac:dyDescent="0.2">
      <c r="O88" s="28"/>
      <c r="P88" s="28"/>
      <c r="Z88" s="29"/>
      <c r="AG88" s="24"/>
    </row>
    <row r="89" spans="1:43" x14ac:dyDescent="0.2">
      <c r="G89" s="1"/>
      <c r="O89" s="28"/>
      <c r="P89" s="28"/>
      <c r="Q89" s="1"/>
      <c r="Z89" s="29"/>
      <c r="AA89" s="29"/>
      <c r="AG89" s="28"/>
      <c r="AO89" s="29"/>
      <c r="AP89" s="1"/>
      <c r="AQ89" s="14"/>
    </row>
    <row r="90" spans="1:43" x14ac:dyDescent="0.2">
      <c r="G90" s="1"/>
      <c r="O90" s="28"/>
      <c r="P90" s="28"/>
      <c r="Q90" s="1"/>
      <c r="Z90" s="29"/>
      <c r="AA90" s="29"/>
      <c r="AG90" s="28"/>
      <c r="AO90" s="29"/>
      <c r="AP90" s="1"/>
      <c r="AQ90" s="14"/>
    </row>
    <row r="91" spans="1:43" x14ac:dyDescent="0.2">
      <c r="G91" s="1"/>
      <c r="O91" s="28"/>
      <c r="P91" s="28"/>
      <c r="Q91" s="1"/>
      <c r="Z91" s="29"/>
      <c r="AA91" s="29"/>
      <c r="AG91" s="28"/>
      <c r="AO91" s="29"/>
      <c r="AP91" s="1"/>
      <c r="AQ91" s="14"/>
    </row>
    <row r="92" spans="1:43" x14ac:dyDescent="0.2">
      <c r="G92" s="1"/>
      <c r="O92" s="28"/>
      <c r="P92" s="28"/>
      <c r="Q92" s="1"/>
      <c r="Z92" s="29"/>
      <c r="AA92" s="29"/>
      <c r="AG92" s="28"/>
      <c r="AO92" s="29"/>
      <c r="AP92" s="1"/>
      <c r="AQ92" s="14"/>
    </row>
    <row r="93" spans="1:43" x14ac:dyDescent="0.2">
      <c r="G93" s="1"/>
      <c r="O93" s="28"/>
      <c r="P93" s="28"/>
      <c r="Q93" s="1"/>
      <c r="Z93" s="29"/>
      <c r="AA93" s="29"/>
      <c r="AG93" s="28"/>
      <c r="AO93" s="29"/>
      <c r="AP93" s="1"/>
      <c r="AQ93" s="14"/>
    </row>
    <row r="94" spans="1:43" x14ac:dyDescent="0.2">
      <c r="G94" s="1"/>
      <c r="O94" s="28"/>
      <c r="P94" s="28"/>
      <c r="Q94" s="1"/>
      <c r="Z94" s="29"/>
      <c r="AA94" s="29"/>
      <c r="AG94" s="28"/>
      <c r="AO94" s="29"/>
      <c r="AP94" s="1"/>
      <c r="AQ94" s="14"/>
    </row>
    <row r="95" spans="1:43" x14ac:dyDescent="0.2">
      <c r="G95" s="1"/>
      <c r="O95" s="28"/>
      <c r="P95" s="28"/>
      <c r="Q95" s="1"/>
      <c r="Z95" s="29"/>
      <c r="AA95" s="29"/>
      <c r="AG95" s="28"/>
      <c r="AO95" s="29"/>
      <c r="AP95" s="1"/>
      <c r="AQ95" s="14"/>
    </row>
    <row r="96" spans="1:43" ht="17.5" customHeight="1" x14ac:dyDescent="0.2">
      <c r="G96" s="1"/>
      <c r="O96" s="28"/>
      <c r="P96" s="28"/>
      <c r="Q96" s="1"/>
      <c r="Z96" s="29"/>
      <c r="AA96" s="29"/>
      <c r="AG96" s="28"/>
      <c r="AO96" s="29"/>
      <c r="AP96" s="1"/>
      <c r="AQ96" s="14"/>
    </row>
    <row r="97" spans="7:43" x14ac:dyDescent="0.2">
      <c r="G97" s="1"/>
      <c r="O97" s="28"/>
      <c r="P97" s="28"/>
      <c r="Q97" s="1"/>
      <c r="Z97" s="29"/>
      <c r="AA97" s="29"/>
      <c r="AG97" s="28"/>
      <c r="AO97" s="29"/>
      <c r="AP97" s="1"/>
      <c r="AQ97" s="14"/>
    </row>
    <row r="98" spans="7:43" x14ac:dyDescent="0.2">
      <c r="G98" s="1"/>
      <c r="O98" s="28"/>
      <c r="P98" s="28"/>
      <c r="Q98" s="1"/>
      <c r="Z98" s="29"/>
      <c r="AA98" s="29"/>
      <c r="AG98" s="28"/>
      <c r="AO98" s="29"/>
      <c r="AP98" s="1"/>
      <c r="AQ98" s="14"/>
    </row>
    <row r="99" spans="7:43" x14ac:dyDescent="0.2">
      <c r="G99" s="1"/>
      <c r="O99" s="28"/>
      <c r="P99" s="28"/>
      <c r="Q99" s="1"/>
      <c r="Z99" s="29"/>
      <c r="AA99" s="29"/>
      <c r="AG99" s="28"/>
      <c r="AO99" s="29"/>
      <c r="AP99" s="1"/>
      <c r="AQ99" s="14"/>
    </row>
    <row r="100" spans="7:43" x14ac:dyDescent="0.2">
      <c r="G100" s="1"/>
      <c r="O100" s="28"/>
      <c r="P100" s="28"/>
      <c r="Q100" s="1"/>
      <c r="Z100" s="29"/>
      <c r="AA100" s="29"/>
      <c r="AB100" s="57"/>
      <c r="AC100" s="57"/>
      <c r="AG100" s="28"/>
      <c r="AO100" s="29"/>
      <c r="AP100" s="1"/>
      <c r="AQ100" s="14"/>
    </row>
    <row r="101" spans="7:43" x14ac:dyDescent="0.2">
      <c r="G101" s="1"/>
      <c r="O101" s="28"/>
      <c r="P101" s="28"/>
      <c r="Q101" s="1"/>
      <c r="Z101" s="29"/>
      <c r="AA101" s="29"/>
      <c r="AB101" s="57"/>
      <c r="AC101" s="57"/>
      <c r="AG101" s="28"/>
      <c r="AO101" s="29"/>
      <c r="AP101" s="1"/>
      <c r="AQ101" s="14"/>
    </row>
    <row r="102" spans="7:43" x14ac:dyDescent="0.2">
      <c r="G102" s="1"/>
      <c r="O102" s="28"/>
      <c r="P102" s="28"/>
      <c r="Q102" s="1"/>
      <c r="Z102" s="29"/>
      <c r="AA102" s="29"/>
      <c r="AB102" s="57"/>
      <c r="AC102" s="57"/>
      <c r="AG102" s="28"/>
      <c r="AO102" s="29"/>
      <c r="AP102" s="1"/>
      <c r="AQ102" s="14"/>
    </row>
    <row r="103" spans="7:43" x14ac:dyDescent="0.2">
      <c r="G103" s="1"/>
      <c r="O103" s="28"/>
      <c r="P103" s="28"/>
      <c r="Q103" s="1"/>
      <c r="Z103" s="29"/>
      <c r="AA103" s="29"/>
      <c r="AB103" s="57"/>
      <c r="AC103" s="57"/>
      <c r="AG103" s="28"/>
      <c r="AO103" s="29"/>
      <c r="AP103" s="1"/>
      <c r="AQ103" s="14"/>
    </row>
    <row r="104" spans="7:43" x14ac:dyDescent="0.2">
      <c r="G104" s="1"/>
      <c r="O104" s="28"/>
      <c r="P104" s="28"/>
      <c r="Q104" s="1"/>
      <c r="Z104" s="29"/>
      <c r="AA104" s="29"/>
      <c r="AG104" s="28"/>
      <c r="AO104" s="29"/>
      <c r="AP104" s="1"/>
      <c r="AQ104" s="14"/>
    </row>
    <row r="105" spans="7:43" x14ac:dyDescent="0.2">
      <c r="G105" s="1"/>
      <c r="O105" s="28"/>
      <c r="P105" s="28"/>
      <c r="Q105" s="1"/>
      <c r="Z105" s="29"/>
      <c r="AA105" s="29"/>
      <c r="AG105" s="28"/>
      <c r="AO105" s="29"/>
      <c r="AP105" s="1"/>
      <c r="AQ105" s="14"/>
    </row>
    <row r="106" spans="7:43" x14ac:dyDescent="0.2">
      <c r="G106" s="1"/>
      <c r="O106" s="28"/>
      <c r="P106" s="28"/>
      <c r="Q106" s="1"/>
      <c r="Z106" s="29"/>
      <c r="AA106" s="29"/>
      <c r="AG106" s="28"/>
      <c r="AO106" s="29"/>
      <c r="AP106" s="1"/>
      <c r="AQ106" s="14"/>
    </row>
    <row r="107" spans="7:43" x14ac:dyDescent="0.2">
      <c r="G107" s="1"/>
      <c r="O107" s="28"/>
      <c r="P107" s="28"/>
      <c r="Q107" s="1"/>
      <c r="Z107" s="29"/>
      <c r="AA107" s="29"/>
      <c r="AG107" s="28"/>
      <c r="AO107" s="29"/>
      <c r="AP107" s="1"/>
      <c r="AQ107" s="14"/>
    </row>
    <row r="108" spans="7:43" x14ac:dyDescent="0.2">
      <c r="G108" s="1"/>
      <c r="O108" s="28"/>
      <c r="P108" s="28"/>
      <c r="Q108" s="1"/>
      <c r="Z108" s="29"/>
      <c r="AA108" s="29"/>
      <c r="AG108" s="28"/>
      <c r="AO108" s="29"/>
      <c r="AP108" s="1"/>
      <c r="AQ108" s="14"/>
    </row>
    <row r="109" spans="7:43" x14ac:dyDescent="0.2">
      <c r="G109" s="1"/>
      <c r="O109" s="28"/>
      <c r="P109" s="28"/>
      <c r="Q109" s="1"/>
      <c r="Z109" s="29"/>
      <c r="AA109" s="29"/>
      <c r="AG109" s="28"/>
      <c r="AO109" s="29"/>
      <c r="AP109" s="1"/>
      <c r="AQ109" s="14"/>
    </row>
    <row r="110" spans="7:43" x14ac:dyDescent="0.2">
      <c r="G110" s="1"/>
      <c r="O110" s="28"/>
      <c r="P110" s="28"/>
      <c r="Q110" s="1"/>
      <c r="Z110" s="29"/>
      <c r="AA110" s="29"/>
      <c r="AG110" s="28"/>
      <c r="AO110" s="29"/>
      <c r="AP110" s="1"/>
      <c r="AQ110" s="14"/>
    </row>
    <row r="111" spans="7:43" x14ac:dyDescent="0.2">
      <c r="G111" s="1"/>
      <c r="O111" s="28"/>
      <c r="P111" s="28"/>
      <c r="Q111" s="1"/>
      <c r="Z111" s="29"/>
      <c r="AA111" s="29"/>
      <c r="AG111" s="28"/>
      <c r="AO111" s="29"/>
      <c r="AP111" s="1"/>
      <c r="AQ111" s="14"/>
    </row>
    <row r="112" spans="7:43" x14ac:dyDescent="0.2">
      <c r="G112" s="1"/>
      <c r="O112" s="28"/>
      <c r="P112" s="28"/>
      <c r="Q112" s="1"/>
      <c r="AA112" s="29"/>
      <c r="AG112" s="28"/>
      <c r="AO112" s="29"/>
      <c r="AP112" s="1"/>
      <c r="AQ112" s="14"/>
    </row>
    <row r="113" spans="7:43" x14ac:dyDescent="0.2">
      <c r="G113" s="1"/>
      <c r="O113" s="28"/>
      <c r="P113" s="28"/>
      <c r="Q113" s="1"/>
      <c r="AA113" s="29"/>
      <c r="AG113" s="28"/>
      <c r="AO113" s="29"/>
      <c r="AP113" s="1"/>
      <c r="AQ113" s="14"/>
    </row>
    <row r="114" spans="7:43" x14ac:dyDescent="0.2">
      <c r="G114" s="1"/>
      <c r="O114" s="28"/>
      <c r="P114" s="28"/>
      <c r="Q114" s="1"/>
      <c r="AA114" s="29"/>
      <c r="AG114" s="28"/>
      <c r="AO114" s="29"/>
      <c r="AP114" s="1"/>
      <c r="AQ114" s="14"/>
    </row>
    <row r="115" spans="7:43" x14ac:dyDescent="0.2">
      <c r="G115" s="1"/>
      <c r="O115" s="28"/>
      <c r="P115" s="28"/>
      <c r="Q115" s="1"/>
      <c r="AA115" s="29"/>
      <c r="AG115" s="28"/>
      <c r="AO115" s="29"/>
      <c r="AP115" s="1"/>
      <c r="AQ115" s="14"/>
    </row>
    <row r="116" spans="7:43" x14ac:dyDescent="0.2">
      <c r="G116" s="1"/>
      <c r="O116" s="28"/>
      <c r="P116" s="28"/>
      <c r="Q116" s="1"/>
      <c r="AA116" s="29"/>
      <c r="AG116" s="28"/>
      <c r="AO116" s="29"/>
      <c r="AP116" s="1"/>
      <c r="AQ116" s="14"/>
    </row>
    <row r="117" spans="7:43" x14ac:dyDescent="0.2">
      <c r="G117" s="1"/>
      <c r="O117" s="28"/>
      <c r="P117" s="28"/>
      <c r="Q117" s="1"/>
      <c r="AA117" s="29"/>
      <c r="AG117" s="28"/>
      <c r="AO117" s="29"/>
      <c r="AP117" s="1"/>
      <c r="AQ117" s="14"/>
    </row>
    <row r="118" spans="7:43" x14ac:dyDescent="0.2">
      <c r="G118" s="1"/>
      <c r="O118" s="28"/>
      <c r="P118" s="28"/>
      <c r="Q118" s="1"/>
      <c r="AA118" s="29"/>
      <c r="AG118" s="28"/>
      <c r="AO118" s="29"/>
      <c r="AP118" s="1"/>
      <c r="AQ118" s="14"/>
    </row>
    <row r="119" spans="7:43" x14ac:dyDescent="0.2">
      <c r="G119" s="1"/>
      <c r="O119" s="28"/>
      <c r="P119" s="28"/>
      <c r="Q119" s="1"/>
      <c r="AA119" s="29"/>
      <c r="AG119" s="28"/>
      <c r="AO119" s="29"/>
      <c r="AP119" s="1"/>
      <c r="AQ119" s="14"/>
    </row>
    <row r="120" spans="7:43" x14ac:dyDescent="0.2">
      <c r="G120" s="1"/>
      <c r="O120" s="28"/>
      <c r="P120" s="28"/>
      <c r="Q120" s="1"/>
      <c r="AA120" s="29"/>
      <c r="AG120" s="28"/>
      <c r="AO120" s="29"/>
      <c r="AP120" s="1"/>
      <c r="AQ120" s="14"/>
    </row>
    <row r="121" spans="7:43" x14ac:dyDescent="0.2">
      <c r="G121" s="1"/>
      <c r="O121" s="28"/>
      <c r="P121" s="28"/>
      <c r="Q121" s="1"/>
      <c r="AA121" s="29"/>
      <c r="AG121" s="28"/>
      <c r="AO121" s="29"/>
      <c r="AP121" s="1"/>
      <c r="AQ121" s="14"/>
    </row>
    <row r="122" spans="7:43" x14ac:dyDescent="0.2">
      <c r="G122" s="1"/>
      <c r="O122" s="28"/>
      <c r="P122" s="28"/>
      <c r="Q122" s="1"/>
      <c r="AA122" s="29"/>
      <c r="AG122" s="28"/>
      <c r="AO122" s="29"/>
      <c r="AP122" s="1"/>
      <c r="AQ122" s="14"/>
    </row>
    <row r="123" spans="7:43" x14ac:dyDescent="0.2">
      <c r="G123" s="1"/>
      <c r="O123" s="28"/>
      <c r="P123" s="28"/>
      <c r="Q123" s="1"/>
      <c r="AA123" s="29"/>
      <c r="AG123" s="28"/>
      <c r="AO123" s="29"/>
      <c r="AP123" s="1"/>
      <c r="AQ123" s="14"/>
    </row>
    <row r="124" spans="7:43" x14ac:dyDescent="0.2">
      <c r="G124" s="1"/>
      <c r="O124" s="28"/>
      <c r="P124" s="28"/>
      <c r="Q124" s="1"/>
      <c r="AA124" s="29"/>
      <c r="AG124" s="28"/>
      <c r="AO124" s="29"/>
      <c r="AP124" s="1"/>
      <c r="AQ124" s="14"/>
    </row>
    <row r="125" spans="7:43" x14ac:dyDescent="0.2">
      <c r="G125" s="1"/>
      <c r="O125" s="28"/>
      <c r="P125" s="28"/>
      <c r="Q125" s="1"/>
      <c r="AA125" s="29"/>
      <c r="AG125" s="28"/>
      <c r="AO125" s="29"/>
      <c r="AP125" s="1"/>
      <c r="AQ125" s="14"/>
    </row>
    <row r="126" spans="7:43" x14ac:dyDescent="0.2">
      <c r="G126" s="1"/>
      <c r="O126" s="28"/>
      <c r="P126" s="28"/>
      <c r="Q126" s="1"/>
      <c r="AA126" s="29"/>
      <c r="AG126" s="28"/>
      <c r="AO126" s="29"/>
      <c r="AP126" s="1"/>
      <c r="AQ126" s="14"/>
    </row>
    <row r="127" spans="7:43" x14ac:dyDescent="0.2">
      <c r="G127" s="1"/>
      <c r="O127" s="28"/>
      <c r="P127" s="28"/>
      <c r="Q127" s="1"/>
      <c r="AA127" s="29"/>
      <c r="AG127" s="28"/>
      <c r="AO127" s="29"/>
      <c r="AP127" s="1"/>
      <c r="AQ127" s="14"/>
    </row>
    <row r="128" spans="7:43" x14ac:dyDescent="0.2">
      <c r="G128" s="1"/>
      <c r="O128" s="28"/>
      <c r="P128" s="28"/>
      <c r="Q128" s="1"/>
      <c r="AA128" s="29"/>
      <c r="AG128" s="28"/>
      <c r="AO128" s="29"/>
      <c r="AP128" s="1"/>
      <c r="AQ128" s="14"/>
    </row>
    <row r="129" spans="7:43" x14ac:dyDescent="0.2">
      <c r="G129" s="1"/>
      <c r="O129" s="28"/>
      <c r="P129" s="28"/>
      <c r="Q129" s="1"/>
      <c r="AA129" s="29"/>
      <c r="AG129" s="28"/>
      <c r="AO129" s="29"/>
      <c r="AP129" s="1"/>
      <c r="AQ129" s="14"/>
    </row>
    <row r="130" spans="7:43" x14ac:dyDescent="0.2">
      <c r="G130" s="1"/>
      <c r="O130" s="28"/>
      <c r="P130" s="28"/>
      <c r="Q130" s="1"/>
      <c r="AA130" s="29"/>
      <c r="AG130" s="28"/>
      <c r="AO130" s="29"/>
      <c r="AP130" s="1"/>
      <c r="AQ130" s="14"/>
    </row>
    <row r="131" spans="7:43" x14ac:dyDescent="0.2">
      <c r="G131" s="1"/>
      <c r="O131" s="28"/>
      <c r="P131" s="28"/>
      <c r="Q131" s="1"/>
      <c r="AA131" s="29"/>
      <c r="AG131" s="28"/>
      <c r="AO131" s="29"/>
      <c r="AP131" s="1"/>
      <c r="AQ131" s="14"/>
    </row>
    <row r="132" spans="7:43" x14ac:dyDescent="0.2">
      <c r="G132" s="1"/>
      <c r="O132" s="28"/>
      <c r="P132" s="28"/>
      <c r="Q132" s="1"/>
      <c r="AA132" s="29"/>
      <c r="AG132" s="28"/>
      <c r="AO132" s="29"/>
      <c r="AP132" s="1"/>
      <c r="AQ132" s="14"/>
    </row>
    <row r="133" spans="7:43" x14ac:dyDescent="0.2">
      <c r="G133" s="1"/>
      <c r="O133" s="28"/>
      <c r="P133" s="28"/>
      <c r="Q133" s="1"/>
      <c r="AA133" s="29"/>
      <c r="AG133" s="28"/>
      <c r="AO133" s="29"/>
      <c r="AP133" s="1"/>
      <c r="AQ133" s="14"/>
    </row>
    <row r="134" spans="7:43" x14ac:dyDescent="0.2">
      <c r="G134" s="1"/>
      <c r="O134" s="28"/>
      <c r="P134" s="28"/>
      <c r="Q134" s="1"/>
      <c r="AA134" s="29"/>
      <c r="AG134" s="28"/>
      <c r="AO134" s="29"/>
      <c r="AP134" s="1"/>
      <c r="AQ134" s="14"/>
    </row>
    <row r="135" spans="7:43" x14ac:dyDescent="0.2">
      <c r="G135" s="1"/>
      <c r="O135" s="28"/>
      <c r="P135" s="28"/>
      <c r="Q135" s="1"/>
      <c r="AA135" s="29"/>
      <c r="AG135" s="28"/>
      <c r="AO135" s="29"/>
      <c r="AP135" s="1"/>
      <c r="AQ135" s="14"/>
    </row>
    <row r="136" spans="7:43" x14ac:dyDescent="0.2">
      <c r="G136" s="1"/>
      <c r="O136" s="28"/>
      <c r="P136" s="28"/>
      <c r="Q136" s="1"/>
      <c r="AA136" s="29"/>
      <c r="AG136" s="28"/>
      <c r="AO136" s="29"/>
      <c r="AP136" s="1"/>
      <c r="AQ136" s="14"/>
    </row>
    <row r="137" spans="7:43" x14ac:dyDescent="0.2">
      <c r="G137" s="1"/>
      <c r="O137" s="28"/>
      <c r="P137" s="28"/>
      <c r="Q137" s="1"/>
      <c r="AA137" s="29"/>
      <c r="AG137" s="28"/>
      <c r="AO137" s="29"/>
      <c r="AP137" s="1"/>
      <c r="AQ137" s="14"/>
    </row>
    <row r="138" spans="7:43" x14ac:dyDescent="0.2">
      <c r="G138" s="1"/>
      <c r="O138" s="28"/>
      <c r="P138" s="28"/>
      <c r="Q138" s="1"/>
      <c r="AA138" s="29"/>
      <c r="AG138" s="28"/>
      <c r="AO138" s="29"/>
      <c r="AP138" s="1"/>
      <c r="AQ138" s="14"/>
    </row>
    <row r="139" spans="7:43" x14ac:dyDescent="0.2">
      <c r="G139" s="1"/>
      <c r="O139" s="28"/>
      <c r="P139" s="28"/>
      <c r="Q139" s="1"/>
      <c r="AA139" s="29"/>
      <c r="AG139" s="28"/>
      <c r="AO139" s="29"/>
      <c r="AP139" s="1"/>
      <c r="AQ139" s="14"/>
    </row>
    <row r="140" spans="7:43" x14ac:dyDescent="0.2">
      <c r="G140" s="1"/>
      <c r="O140" s="28"/>
      <c r="P140" s="28"/>
      <c r="Q140" s="1"/>
      <c r="AA140" s="29"/>
      <c r="AG140" s="28"/>
      <c r="AO140" s="29"/>
      <c r="AP140" s="1"/>
      <c r="AQ140" s="14"/>
    </row>
    <row r="141" spans="7:43" x14ac:dyDescent="0.2">
      <c r="G141" s="1"/>
      <c r="O141" s="28"/>
      <c r="P141" s="28"/>
      <c r="Q141" s="1"/>
      <c r="AA141" s="29"/>
      <c r="AG141" s="28"/>
      <c r="AO141" s="29"/>
      <c r="AP141" s="1"/>
      <c r="AQ141" s="14"/>
    </row>
    <row r="142" spans="7:43" x14ac:dyDescent="0.2">
      <c r="G142" s="1"/>
      <c r="O142" s="28"/>
      <c r="P142" s="28"/>
      <c r="Q142" s="1"/>
      <c r="AA142" s="29"/>
      <c r="AG142" s="28"/>
      <c r="AO142" s="29"/>
      <c r="AP142" s="1"/>
      <c r="AQ142" s="14"/>
    </row>
    <row r="143" spans="7:43" x14ac:dyDescent="0.2">
      <c r="G143" s="1"/>
      <c r="O143" s="28"/>
      <c r="P143" s="28"/>
      <c r="Q143" s="1"/>
      <c r="AA143" s="29"/>
      <c r="AG143" s="28"/>
      <c r="AO143" s="29"/>
      <c r="AP143" s="1"/>
      <c r="AQ143" s="14"/>
    </row>
    <row r="144" spans="7:43" x14ac:dyDescent="0.2">
      <c r="G144" s="1"/>
      <c r="O144" s="28"/>
      <c r="P144" s="28"/>
      <c r="Q144" s="1"/>
      <c r="AA144" s="29"/>
      <c r="AG144" s="28"/>
      <c r="AO144" s="29"/>
      <c r="AP144" s="1"/>
      <c r="AQ144" s="14"/>
    </row>
    <row r="145" spans="7:43" x14ac:dyDescent="0.2">
      <c r="G145" s="1"/>
      <c r="O145" s="28"/>
      <c r="P145" s="28"/>
      <c r="Q145" s="1"/>
      <c r="AA145" s="29"/>
      <c r="AG145" s="28"/>
      <c r="AO145" s="29"/>
      <c r="AP145" s="1"/>
      <c r="AQ145" s="14"/>
    </row>
    <row r="146" spans="7:43" x14ac:dyDescent="0.2">
      <c r="G146" s="1"/>
      <c r="O146" s="28"/>
      <c r="P146" s="28"/>
      <c r="Q146" s="1"/>
      <c r="AA146" s="29"/>
      <c r="AG146" s="28"/>
      <c r="AO146" s="29"/>
      <c r="AP146" s="1"/>
      <c r="AQ146" s="14"/>
    </row>
    <row r="147" spans="7:43" x14ac:dyDescent="0.2">
      <c r="G147" s="1"/>
      <c r="O147" s="28"/>
      <c r="P147" s="28"/>
      <c r="Q147" s="1"/>
      <c r="AA147" s="29"/>
      <c r="AG147" s="28"/>
      <c r="AO147" s="29"/>
      <c r="AP147" s="1"/>
      <c r="AQ147" s="14"/>
    </row>
    <row r="148" spans="7:43" x14ac:dyDescent="0.2">
      <c r="G148" s="1"/>
      <c r="O148" s="28"/>
      <c r="P148" s="28"/>
      <c r="Q148" s="1"/>
      <c r="AA148" s="29"/>
      <c r="AG148" s="28"/>
      <c r="AO148" s="29"/>
      <c r="AP148" s="1"/>
      <c r="AQ148" s="14"/>
    </row>
    <row r="149" spans="7:43" ht="13.25" customHeight="1" x14ac:dyDescent="0.2">
      <c r="G149" s="1"/>
      <c r="O149" s="28"/>
      <c r="P149" s="28"/>
      <c r="Q149" s="1"/>
      <c r="AA149" s="29"/>
      <c r="AG149" s="28"/>
      <c r="AO149" s="29"/>
      <c r="AP149" s="1"/>
      <c r="AQ149" s="14"/>
    </row>
    <row r="150" spans="7:43" x14ac:dyDescent="0.2">
      <c r="G150" s="1"/>
      <c r="O150" s="28"/>
      <c r="P150" s="28"/>
      <c r="Q150" s="1"/>
      <c r="AA150" s="29"/>
      <c r="AG150" s="28"/>
      <c r="AO150" s="29"/>
      <c r="AP150" s="1"/>
      <c r="AQ150" s="14"/>
    </row>
    <row r="151" spans="7:43" x14ac:dyDescent="0.2">
      <c r="G151" s="1"/>
      <c r="O151" s="28"/>
      <c r="P151" s="28"/>
      <c r="Q151" s="1"/>
      <c r="AA151" s="29"/>
      <c r="AG151" s="28"/>
      <c r="AO151" s="29"/>
      <c r="AP151" s="1"/>
      <c r="AQ151" s="14"/>
    </row>
    <row r="152" spans="7:43" x14ac:dyDescent="0.2">
      <c r="G152" s="1"/>
      <c r="O152" s="28"/>
      <c r="P152" s="28"/>
      <c r="Q152" s="1"/>
      <c r="AA152" s="29"/>
      <c r="AG152" s="28"/>
      <c r="AO152" s="29"/>
      <c r="AP152" s="1"/>
      <c r="AQ152" s="14"/>
    </row>
    <row r="153" spans="7:43" x14ac:dyDescent="0.2">
      <c r="G153" s="1"/>
      <c r="O153" s="28"/>
      <c r="P153" s="28"/>
      <c r="Q153" s="1"/>
      <c r="AA153" s="29"/>
      <c r="AG153" s="28"/>
      <c r="AO153" s="29"/>
      <c r="AP153" s="1"/>
      <c r="AQ153" s="14"/>
    </row>
    <row r="154" spans="7:43" x14ac:dyDescent="0.2">
      <c r="G154" s="1"/>
      <c r="O154" s="28"/>
      <c r="P154" s="28"/>
      <c r="Q154" s="1"/>
      <c r="AA154" s="29"/>
      <c r="AG154" s="28"/>
      <c r="AO154" s="29"/>
      <c r="AP154" s="1"/>
      <c r="AQ154" s="14"/>
    </row>
    <row r="155" spans="7:43" x14ac:dyDescent="0.2">
      <c r="G155" s="1"/>
      <c r="O155" s="28"/>
      <c r="P155" s="28"/>
      <c r="Q155" s="1"/>
      <c r="AA155" s="29"/>
      <c r="AG155" s="28"/>
      <c r="AO155" s="29"/>
      <c r="AP155" s="1"/>
      <c r="AQ155" s="14"/>
    </row>
    <row r="156" spans="7:43" x14ac:dyDescent="0.2">
      <c r="G156" s="1"/>
      <c r="O156" s="28"/>
      <c r="P156" s="28"/>
      <c r="Q156" s="1"/>
      <c r="AA156" s="29"/>
      <c r="AG156" s="28"/>
      <c r="AO156" s="29"/>
      <c r="AP156" s="1"/>
      <c r="AQ156" s="14"/>
    </row>
    <row r="157" spans="7:43" x14ac:dyDescent="0.2">
      <c r="G157" s="1"/>
      <c r="O157" s="28"/>
      <c r="P157" s="28"/>
      <c r="Q157" s="1"/>
      <c r="AA157" s="29"/>
      <c r="AG157" s="28"/>
      <c r="AO157" s="29"/>
      <c r="AP157" s="1"/>
      <c r="AQ157" s="14"/>
    </row>
    <row r="158" spans="7:43" ht="14" customHeight="1" x14ac:dyDescent="0.2">
      <c r="G158" s="1"/>
      <c r="O158" s="28"/>
      <c r="P158" s="28"/>
      <c r="Q158" s="1"/>
      <c r="AA158" s="29"/>
      <c r="AG158" s="28"/>
      <c r="AO158" s="29"/>
      <c r="AP158" s="1"/>
      <c r="AQ158" s="14"/>
    </row>
    <row r="159" spans="7:43" x14ac:dyDescent="0.2">
      <c r="G159" s="1"/>
      <c r="O159" s="28"/>
      <c r="P159" s="28"/>
      <c r="Q159" s="1"/>
      <c r="AA159" s="29"/>
      <c r="AG159" s="28"/>
      <c r="AO159" s="29"/>
      <c r="AP159" s="1"/>
      <c r="AQ159" s="14"/>
    </row>
    <row r="160" spans="7:43" x14ac:dyDescent="0.2">
      <c r="G160" s="1"/>
      <c r="O160" s="28"/>
      <c r="P160" s="28"/>
      <c r="Q160" s="1"/>
      <c r="AA160" s="29"/>
      <c r="AG160" s="28"/>
      <c r="AO160" s="29"/>
      <c r="AP160" s="1"/>
      <c r="AQ160" s="14"/>
    </row>
    <row r="161" spans="7:43" x14ac:dyDescent="0.2">
      <c r="G161" s="1"/>
      <c r="O161" s="28"/>
      <c r="P161" s="28"/>
      <c r="Q161" s="1"/>
      <c r="AA161" s="29"/>
      <c r="AG161" s="28"/>
      <c r="AO161" s="29"/>
      <c r="AP161" s="1"/>
      <c r="AQ161" s="14"/>
    </row>
    <row r="162" spans="7:43" x14ac:dyDescent="0.2">
      <c r="G162" s="1"/>
      <c r="O162" s="28"/>
      <c r="P162" s="28"/>
      <c r="Q162" s="1"/>
      <c r="AA162" s="29"/>
      <c r="AG162" s="28"/>
      <c r="AO162" s="29"/>
      <c r="AP162" s="1"/>
      <c r="AQ162" s="14"/>
    </row>
    <row r="163" spans="7:43" x14ac:dyDescent="0.2">
      <c r="G163" s="1"/>
      <c r="O163" s="28"/>
      <c r="P163" s="28"/>
      <c r="Q163" s="1"/>
      <c r="AA163" s="29"/>
      <c r="AG163" s="28"/>
      <c r="AO163" s="29"/>
      <c r="AP163" s="1"/>
      <c r="AQ163" s="14"/>
    </row>
    <row r="164" spans="7:43" x14ac:dyDescent="0.2">
      <c r="G164" s="1"/>
      <c r="O164" s="28"/>
      <c r="P164" s="28"/>
      <c r="Q164" s="1"/>
      <c r="AA164" s="29"/>
      <c r="AG164" s="28"/>
      <c r="AO164" s="29"/>
      <c r="AP164" s="1"/>
      <c r="AQ164" s="14"/>
    </row>
    <row r="165" spans="7:43" x14ac:dyDescent="0.2">
      <c r="G165" s="1"/>
      <c r="O165" s="28"/>
      <c r="P165" s="28"/>
      <c r="Q165" s="1"/>
      <c r="AA165" s="29"/>
      <c r="AG165" s="28"/>
      <c r="AO165" s="29"/>
      <c r="AP165" s="1"/>
      <c r="AQ165" s="14"/>
    </row>
    <row r="166" spans="7:43" x14ac:dyDescent="0.2">
      <c r="G166" s="1"/>
      <c r="O166" s="28"/>
      <c r="P166" s="28"/>
      <c r="Q166" s="1"/>
      <c r="AA166" s="29"/>
      <c r="AG166" s="28"/>
      <c r="AO166" s="29"/>
      <c r="AP166" s="1"/>
      <c r="AQ166" s="14"/>
    </row>
    <row r="167" spans="7:43" x14ac:dyDescent="0.2">
      <c r="G167" s="1"/>
      <c r="O167" s="28"/>
      <c r="P167" s="28"/>
      <c r="Q167" s="1"/>
      <c r="AA167" s="29"/>
      <c r="AG167" s="28"/>
      <c r="AO167" s="29"/>
      <c r="AP167" s="1"/>
      <c r="AQ167" s="14"/>
    </row>
    <row r="168" spans="7:43" x14ac:dyDescent="0.2">
      <c r="G168" s="1"/>
      <c r="O168" s="28"/>
      <c r="P168" s="28"/>
      <c r="Q168" s="1"/>
      <c r="AA168" s="29"/>
      <c r="AG168" s="28"/>
      <c r="AO168" s="29"/>
      <c r="AP168" s="1"/>
      <c r="AQ168" s="14"/>
    </row>
    <row r="169" spans="7:43" x14ac:dyDescent="0.2">
      <c r="G169" s="1"/>
      <c r="O169" s="28"/>
      <c r="P169" s="28"/>
      <c r="Q169" s="1"/>
      <c r="AA169" s="29"/>
      <c r="AG169" s="28"/>
      <c r="AO169" s="29"/>
      <c r="AP169" s="1"/>
      <c r="AQ169" s="14"/>
    </row>
    <row r="170" spans="7:43" x14ac:dyDescent="0.2">
      <c r="G170" s="1"/>
      <c r="O170" s="28"/>
      <c r="P170" s="28"/>
      <c r="Q170" s="1"/>
      <c r="AA170" s="29"/>
      <c r="AG170" s="28"/>
      <c r="AO170" s="29"/>
      <c r="AP170" s="1"/>
      <c r="AQ170" s="14"/>
    </row>
    <row r="171" spans="7:43" x14ac:dyDescent="0.2">
      <c r="G171" s="1"/>
      <c r="O171" s="28"/>
      <c r="P171" s="28"/>
      <c r="Q171" s="1"/>
      <c r="AA171" s="29"/>
      <c r="AG171" s="28"/>
      <c r="AO171" s="29"/>
      <c r="AP171" s="1"/>
      <c r="AQ171" s="14"/>
    </row>
    <row r="172" spans="7:43" x14ac:dyDescent="0.2">
      <c r="G172" s="1"/>
      <c r="O172" s="28"/>
      <c r="P172" s="28"/>
      <c r="Q172" s="1"/>
      <c r="AA172" s="29"/>
      <c r="AG172" s="28"/>
      <c r="AO172" s="29"/>
      <c r="AP172" s="1"/>
      <c r="AQ172" s="14"/>
    </row>
    <row r="173" spans="7:43" x14ac:dyDescent="0.2">
      <c r="G173" s="1"/>
      <c r="O173" s="28"/>
      <c r="P173" s="28"/>
      <c r="Q173" s="1"/>
      <c r="AA173" s="29"/>
      <c r="AG173" s="28"/>
      <c r="AO173" s="29"/>
      <c r="AP173" s="1"/>
      <c r="AQ173" s="14"/>
    </row>
    <row r="174" spans="7:43" x14ac:dyDescent="0.2">
      <c r="G174" s="1"/>
      <c r="O174" s="28"/>
      <c r="P174" s="28"/>
      <c r="Q174" s="1"/>
      <c r="AA174" s="29"/>
      <c r="AG174" s="28"/>
      <c r="AO174" s="29"/>
      <c r="AP174" s="1"/>
      <c r="AQ174" s="14"/>
    </row>
    <row r="175" spans="7:43" x14ac:dyDescent="0.2">
      <c r="G175" s="1"/>
      <c r="O175" s="28"/>
      <c r="P175" s="28"/>
      <c r="Q175" s="1"/>
      <c r="AA175" s="29"/>
      <c r="AG175" s="28"/>
      <c r="AO175" s="29"/>
      <c r="AP175" s="1"/>
      <c r="AQ175" s="14"/>
    </row>
    <row r="176" spans="7:43" x14ac:dyDescent="0.2">
      <c r="G176" s="1"/>
      <c r="O176" s="28"/>
      <c r="P176" s="28"/>
      <c r="Q176" s="1"/>
      <c r="AA176" s="29"/>
      <c r="AG176" s="28"/>
      <c r="AO176" s="29"/>
      <c r="AP176" s="1"/>
      <c r="AQ176" s="14"/>
    </row>
    <row r="177" spans="7:43" x14ac:dyDescent="0.2">
      <c r="G177" s="1"/>
      <c r="O177" s="28"/>
      <c r="P177" s="28"/>
      <c r="Q177" s="1"/>
      <c r="AA177" s="29"/>
      <c r="AG177" s="28"/>
      <c r="AO177" s="29"/>
      <c r="AP177" s="1"/>
      <c r="AQ177" s="14"/>
    </row>
    <row r="178" spans="7:43" x14ac:dyDescent="0.2">
      <c r="G178" s="1"/>
      <c r="O178" s="28"/>
      <c r="P178" s="28"/>
      <c r="Q178" s="1"/>
      <c r="AA178" s="29"/>
      <c r="AG178" s="28"/>
      <c r="AO178" s="29"/>
      <c r="AP178" s="1"/>
      <c r="AQ178" s="14"/>
    </row>
    <row r="179" spans="7:43" x14ac:dyDescent="0.2">
      <c r="G179" s="1"/>
      <c r="O179" s="28"/>
      <c r="P179" s="28"/>
      <c r="Q179" s="1"/>
      <c r="AA179" s="29"/>
      <c r="AG179" s="28"/>
      <c r="AO179" s="29"/>
      <c r="AP179" s="1"/>
      <c r="AQ179" s="14"/>
    </row>
    <row r="180" spans="7:43" x14ac:dyDescent="0.2">
      <c r="G180" s="1"/>
      <c r="O180" s="28"/>
      <c r="P180" s="28"/>
      <c r="Q180" s="1"/>
      <c r="AA180" s="29"/>
      <c r="AG180" s="28"/>
      <c r="AO180" s="29"/>
      <c r="AP180" s="1"/>
      <c r="AQ180" s="14"/>
    </row>
    <row r="181" spans="7:43" x14ac:dyDescent="0.2">
      <c r="G181" s="1"/>
      <c r="O181" s="28"/>
      <c r="P181" s="28"/>
      <c r="Q181" s="1"/>
      <c r="AA181" s="29"/>
      <c r="AG181" s="28"/>
      <c r="AO181" s="29"/>
      <c r="AP181" s="1"/>
      <c r="AQ181" s="14"/>
    </row>
    <row r="182" spans="7:43" x14ac:dyDescent="0.2">
      <c r="G182" s="1"/>
      <c r="O182" s="28"/>
      <c r="P182" s="28"/>
      <c r="Q182" s="1"/>
      <c r="AA182" s="29"/>
      <c r="AG182" s="28"/>
      <c r="AO182" s="29"/>
      <c r="AP182" s="1"/>
      <c r="AQ182" s="14"/>
    </row>
    <row r="183" spans="7:43" x14ac:dyDescent="0.2">
      <c r="G183" s="1"/>
      <c r="O183" s="28"/>
      <c r="P183" s="28"/>
      <c r="Q183" s="1"/>
      <c r="AA183" s="29"/>
      <c r="AG183" s="28"/>
      <c r="AO183" s="29"/>
      <c r="AP183" s="1"/>
      <c r="AQ183" s="14"/>
    </row>
    <row r="184" spans="7:43" x14ac:dyDescent="0.2">
      <c r="G184" s="1"/>
      <c r="O184" s="28"/>
      <c r="P184" s="28"/>
      <c r="Q184" s="1"/>
      <c r="AA184" s="29"/>
      <c r="AG184" s="28"/>
      <c r="AO184" s="29"/>
      <c r="AP184" s="1"/>
      <c r="AQ184" s="14"/>
    </row>
    <row r="185" spans="7:43" x14ac:dyDescent="0.2">
      <c r="G185" s="1"/>
      <c r="O185" s="28"/>
      <c r="P185" s="28"/>
      <c r="Q185" s="1"/>
      <c r="AA185" s="29"/>
      <c r="AG185" s="28"/>
      <c r="AO185" s="29"/>
      <c r="AP185" s="1"/>
      <c r="AQ185" s="14"/>
    </row>
    <row r="186" spans="7:43" x14ac:dyDescent="0.2">
      <c r="G186" s="1"/>
      <c r="O186" s="28"/>
      <c r="P186" s="28"/>
      <c r="Q186" s="1"/>
      <c r="AA186" s="29"/>
      <c r="AG186" s="28"/>
      <c r="AO186" s="29"/>
      <c r="AP186" s="1"/>
      <c r="AQ186" s="14"/>
    </row>
    <row r="187" spans="7:43" x14ac:dyDescent="0.2">
      <c r="G187" s="1"/>
      <c r="O187" s="28"/>
      <c r="P187" s="28"/>
      <c r="Q187" s="1"/>
      <c r="AA187" s="29"/>
      <c r="AG187" s="28"/>
      <c r="AO187" s="29"/>
      <c r="AP187" s="1"/>
      <c r="AQ187" s="14"/>
    </row>
    <row r="188" spans="7:43" x14ac:dyDescent="0.2">
      <c r="G188" s="1"/>
      <c r="O188" s="28"/>
      <c r="P188" s="28"/>
      <c r="Q188" s="1"/>
      <c r="AA188" s="29"/>
      <c r="AG188" s="28"/>
      <c r="AO188" s="29"/>
      <c r="AP188" s="1"/>
      <c r="AQ188" s="14"/>
    </row>
    <row r="189" spans="7:43" x14ac:dyDescent="0.2">
      <c r="G189" s="1"/>
      <c r="O189" s="28"/>
      <c r="P189" s="28"/>
      <c r="Q189" s="1"/>
      <c r="AA189" s="29"/>
      <c r="AG189" s="28"/>
      <c r="AO189" s="29"/>
      <c r="AP189" s="1"/>
      <c r="AQ189" s="14"/>
    </row>
    <row r="190" spans="7:43" x14ac:dyDescent="0.2">
      <c r="G190" s="1"/>
      <c r="O190" s="28"/>
      <c r="P190" s="28"/>
      <c r="Q190" s="1"/>
      <c r="AA190" s="29"/>
      <c r="AG190" s="28"/>
      <c r="AO190" s="29"/>
      <c r="AP190" s="1"/>
      <c r="AQ190" s="14"/>
    </row>
    <row r="191" spans="7:43" x14ac:dyDescent="0.2">
      <c r="G191" s="1"/>
      <c r="O191" s="28"/>
      <c r="P191" s="28"/>
      <c r="Q191" s="1"/>
      <c r="AA191" s="29"/>
      <c r="AG191" s="28"/>
      <c r="AO191" s="29"/>
      <c r="AP191" s="1"/>
      <c r="AQ191" s="14"/>
    </row>
    <row r="192" spans="7:43" x14ac:dyDescent="0.2">
      <c r="G192" s="1"/>
      <c r="O192" s="28"/>
      <c r="P192" s="28"/>
      <c r="Q192" s="1"/>
      <c r="AA192" s="29"/>
      <c r="AG192" s="28"/>
      <c r="AO192" s="29"/>
      <c r="AP192" s="1"/>
      <c r="AQ192" s="14"/>
    </row>
    <row r="193" spans="7:43" x14ac:dyDescent="0.2">
      <c r="G193" s="1"/>
      <c r="Q193" s="1"/>
      <c r="AA193" s="29"/>
      <c r="AG193" s="1"/>
      <c r="AO193" s="29"/>
      <c r="AP193" s="1"/>
      <c r="AQ193" s="14"/>
    </row>
    <row r="194" spans="7:43" x14ac:dyDescent="0.2">
      <c r="Q194" s="1"/>
      <c r="AA194" s="29"/>
      <c r="AG194" s="1"/>
      <c r="AO194" s="29"/>
    </row>
    <row r="195" spans="7:43" x14ac:dyDescent="0.2">
      <c r="Q195" s="1"/>
      <c r="AA195" s="29"/>
      <c r="AG195" s="1"/>
      <c r="AO195" s="29"/>
    </row>
    <row r="196" spans="7:43" x14ac:dyDescent="0.2">
      <c r="Q196" s="1"/>
      <c r="AA196" s="29"/>
      <c r="AG196" s="1"/>
      <c r="AO196" s="29"/>
    </row>
    <row r="197" spans="7:43" x14ac:dyDescent="0.2">
      <c r="Q197" s="1"/>
      <c r="AA197" s="29"/>
      <c r="AG197" s="1"/>
      <c r="AO197" s="29"/>
    </row>
    <row r="198" spans="7:43" x14ac:dyDescent="0.2">
      <c r="Q198" s="1"/>
      <c r="AA198" s="29"/>
      <c r="AG198" s="1"/>
      <c r="AO198" s="29"/>
    </row>
    <row r="199" spans="7:43" x14ac:dyDescent="0.2">
      <c r="Q199" s="1"/>
      <c r="AA199" s="29"/>
      <c r="AG199" s="1"/>
      <c r="AO199" s="29"/>
    </row>
    <row r="200" spans="7:43" x14ac:dyDescent="0.2">
      <c r="Q200" s="1"/>
      <c r="AA200" s="29"/>
      <c r="AG200" s="1"/>
      <c r="AO200" s="29"/>
    </row>
    <row r="201" spans="7:43" x14ac:dyDescent="0.2">
      <c r="Q201" s="1"/>
      <c r="AA201" s="29"/>
      <c r="AG201" s="1"/>
      <c r="AO201" s="29"/>
    </row>
    <row r="202" spans="7:43" x14ac:dyDescent="0.2">
      <c r="Q202" s="1"/>
      <c r="AA202" s="29"/>
      <c r="AG202" s="1"/>
      <c r="AO202" s="29"/>
    </row>
    <row r="203" spans="7:43" x14ac:dyDescent="0.2">
      <c r="Q203" s="1"/>
      <c r="AA203" s="29"/>
      <c r="AG203" s="1"/>
      <c r="AO203" s="29"/>
    </row>
    <row r="204" spans="7:43" x14ac:dyDescent="0.2">
      <c r="Q204" s="1"/>
      <c r="AA204" s="29"/>
      <c r="AG204" s="1"/>
      <c r="AO204" s="29"/>
    </row>
    <row r="205" spans="7:43" x14ac:dyDescent="0.2">
      <c r="Q205" s="1"/>
      <c r="AA205" s="29"/>
      <c r="AG205" s="1"/>
      <c r="AO205" s="29"/>
    </row>
    <row r="206" spans="7:43" x14ac:dyDescent="0.2">
      <c r="Q206" s="1"/>
      <c r="AA206" s="29"/>
      <c r="AG206" s="1"/>
      <c r="AO206" s="29"/>
    </row>
    <row r="207" spans="7:43" x14ac:dyDescent="0.2">
      <c r="Q207" s="1"/>
      <c r="AA207" s="29"/>
      <c r="AG207" s="1"/>
      <c r="AO207" s="29"/>
    </row>
    <row r="208" spans="7:43" x14ac:dyDescent="0.2">
      <c r="Q208" s="1"/>
      <c r="AA208" s="29"/>
      <c r="AG208" s="1"/>
      <c r="AO208" s="29"/>
    </row>
    <row r="209" spans="17:41" x14ac:dyDescent="0.2">
      <c r="Q209" s="1"/>
      <c r="AA209" s="29"/>
      <c r="AG209" s="1"/>
      <c r="AO209" s="29"/>
    </row>
    <row r="210" spans="17:41" x14ac:dyDescent="0.2">
      <c r="Q210" s="1"/>
      <c r="AA210" s="29"/>
      <c r="AG210" s="1"/>
      <c r="AO210" s="29"/>
    </row>
    <row r="211" spans="17:41" x14ac:dyDescent="0.2">
      <c r="Q211" s="1"/>
      <c r="AA211" s="29"/>
      <c r="AG211" s="1"/>
      <c r="AO211" s="29"/>
    </row>
    <row r="212" spans="17:41" x14ac:dyDescent="0.2">
      <c r="Q212" s="1"/>
      <c r="AA212" s="29"/>
      <c r="AG212" s="1"/>
      <c r="AO212" s="29"/>
    </row>
    <row r="213" spans="17:41" x14ac:dyDescent="0.2">
      <c r="Q213" s="1"/>
      <c r="AA213" s="29"/>
      <c r="AG213" s="1"/>
      <c r="AO213" s="29"/>
    </row>
    <row r="214" spans="17:41" x14ac:dyDescent="0.2">
      <c r="Q214" s="1"/>
      <c r="AA214" s="29"/>
      <c r="AG214" s="1"/>
      <c r="AO214" s="29"/>
    </row>
    <row r="215" spans="17:41" x14ac:dyDescent="0.2">
      <c r="Q215" s="1"/>
      <c r="AA215" s="29"/>
      <c r="AG215" s="1"/>
      <c r="AO215" s="29"/>
    </row>
    <row r="216" spans="17:41" x14ac:dyDescent="0.2">
      <c r="Q216" s="1"/>
      <c r="AA216" s="29"/>
      <c r="AG216" s="1"/>
      <c r="AO216" s="29"/>
    </row>
    <row r="217" spans="17:41" x14ac:dyDescent="0.2">
      <c r="Q217" s="1"/>
      <c r="AA217" s="29"/>
      <c r="AG217" s="1"/>
      <c r="AO217" s="29"/>
    </row>
    <row r="218" spans="17:41" x14ac:dyDescent="0.2">
      <c r="Q218" s="1"/>
      <c r="AA218" s="29"/>
      <c r="AG218" s="1"/>
      <c r="AO218" s="29"/>
    </row>
    <row r="219" spans="17:41" x14ac:dyDescent="0.2">
      <c r="Q219" s="1"/>
      <c r="AA219" s="29"/>
      <c r="AG219" s="1"/>
      <c r="AO219" s="29"/>
    </row>
    <row r="220" spans="17:41" x14ac:dyDescent="0.2">
      <c r="Q220" s="1"/>
      <c r="AA220" s="29"/>
      <c r="AG220" s="1"/>
      <c r="AO220" s="29"/>
    </row>
    <row r="221" spans="17:41" x14ac:dyDescent="0.2">
      <c r="Q221" s="1"/>
      <c r="AA221" s="29"/>
      <c r="AG221" s="1"/>
      <c r="AO221" s="29"/>
    </row>
    <row r="222" spans="17:41" x14ac:dyDescent="0.2">
      <c r="Q222" s="1"/>
      <c r="AA222" s="29"/>
      <c r="AG222" s="1"/>
      <c r="AO222" s="29"/>
    </row>
    <row r="223" spans="17:41" x14ac:dyDescent="0.2">
      <c r="Q223" s="1"/>
      <c r="AA223" s="29"/>
      <c r="AG223" s="1"/>
      <c r="AO223" s="29"/>
    </row>
    <row r="224" spans="17:41" x14ac:dyDescent="0.2">
      <c r="Q224" s="1"/>
      <c r="AA224" s="29"/>
      <c r="AG224" s="1"/>
      <c r="AO224" s="29"/>
    </row>
    <row r="225" spans="17:41" x14ac:dyDescent="0.2">
      <c r="Q225" s="1"/>
      <c r="AA225" s="29"/>
      <c r="AG225" s="1"/>
      <c r="AO225" s="29"/>
    </row>
    <row r="226" spans="17:41" x14ac:dyDescent="0.2">
      <c r="Q226" s="1"/>
      <c r="AA226" s="29"/>
      <c r="AG226" s="1"/>
      <c r="AO226" s="29"/>
    </row>
    <row r="227" spans="17:41" x14ac:dyDescent="0.2">
      <c r="Q227" s="1"/>
      <c r="AA227" s="29"/>
      <c r="AG227" s="1"/>
      <c r="AO227" s="29"/>
    </row>
    <row r="228" spans="17:41" x14ac:dyDescent="0.2">
      <c r="Q228" s="1"/>
      <c r="AA228" s="29"/>
      <c r="AG228" s="1"/>
      <c r="AO228" s="29"/>
    </row>
    <row r="229" spans="17:41" x14ac:dyDescent="0.2">
      <c r="Q229" s="1"/>
      <c r="AA229" s="29"/>
      <c r="AG229" s="1"/>
      <c r="AO229" s="29"/>
    </row>
    <row r="230" spans="17:41" x14ac:dyDescent="0.2">
      <c r="Q230" s="1"/>
      <c r="AA230" s="29"/>
      <c r="AG230" s="1"/>
      <c r="AO230" s="29"/>
    </row>
    <row r="231" spans="17:41" x14ac:dyDescent="0.2">
      <c r="Q231" s="1"/>
      <c r="AA231" s="29"/>
      <c r="AG231" s="1"/>
      <c r="AO231" s="29"/>
    </row>
    <row r="232" spans="17:41" x14ac:dyDescent="0.2">
      <c r="Q232" s="1"/>
      <c r="AA232" s="29"/>
      <c r="AG232" s="1"/>
      <c r="AO232" s="29"/>
    </row>
    <row r="233" spans="17:41" x14ac:dyDescent="0.2">
      <c r="Q233" s="1"/>
      <c r="AA233" s="29"/>
      <c r="AG233" s="1"/>
      <c r="AO233" s="29"/>
    </row>
    <row r="234" spans="17:41" x14ac:dyDescent="0.2">
      <c r="Q234" s="1"/>
      <c r="AA234" s="29"/>
      <c r="AG234" s="1"/>
      <c r="AO234" s="29"/>
    </row>
    <row r="235" spans="17:41" x14ac:dyDescent="0.2">
      <c r="Q235" s="1"/>
      <c r="AA235" s="29"/>
      <c r="AG235" s="1"/>
      <c r="AO235" s="29"/>
    </row>
    <row r="236" spans="17:41" x14ac:dyDescent="0.2">
      <c r="Q236" s="1"/>
      <c r="AA236" s="29"/>
      <c r="AG236" s="1"/>
      <c r="AO236" s="29"/>
    </row>
    <row r="237" spans="17:41" x14ac:dyDescent="0.2">
      <c r="Q237" s="1"/>
      <c r="AA237" s="29"/>
      <c r="AG237" s="1"/>
      <c r="AO237" s="29"/>
    </row>
    <row r="238" spans="17:41" x14ac:dyDescent="0.2">
      <c r="Q238" s="1"/>
      <c r="AA238" s="29"/>
      <c r="AG238" s="1"/>
      <c r="AO238" s="29"/>
    </row>
    <row r="239" spans="17:41" x14ac:dyDescent="0.2">
      <c r="Q239" s="1"/>
      <c r="AA239" s="29"/>
      <c r="AG239" s="1"/>
      <c r="AO239" s="29"/>
    </row>
    <row r="240" spans="17:41" x14ac:dyDescent="0.2">
      <c r="Q240" s="1"/>
      <c r="AA240" s="29"/>
      <c r="AG240" s="1"/>
      <c r="AO240" s="29"/>
    </row>
    <row r="241" spans="17:41" x14ac:dyDescent="0.2">
      <c r="Q241" s="1"/>
      <c r="AA241" s="29"/>
      <c r="AG241" s="1"/>
      <c r="AO241" s="29"/>
    </row>
    <row r="242" spans="17:41" x14ac:dyDescent="0.2">
      <c r="Q242" s="1"/>
      <c r="AA242" s="29"/>
      <c r="AG242" s="1"/>
      <c r="AO242" s="29"/>
    </row>
    <row r="243" spans="17:41" x14ac:dyDescent="0.2">
      <c r="Q243" s="1"/>
      <c r="AA243" s="29"/>
      <c r="AG243" s="1"/>
      <c r="AO243" s="29"/>
    </row>
    <row r="244" spans="17:41" x14ac:dyDescent="0.2">
      <c r="Q244" s="1"/>
      <c r="AA244" s="29"/>
      <c r="AG244" s="1"/>
      <c r="AO244" s="29"/>
    </row>
    <row r="245" spans="17:41" x14ac:dyDescent="0.2">
      <c r="Q245" s="1"/>
      <c r="AA245" s="29"/>
      <c r="AG245" s="1"/>
      <c r="AO245" s="29"/>
    </row>
    <row r="246" spans="17:41" x14ac:dyDescent="0.2">
      <c r="Q246" s="1"/>
      <c r="AA246" s="29"/>
      <c r="AG246" s="1"/>
      <c r="AO246" s="29"/>
    </row>
    <row r="247" spans="17:41" x14ac:dyDescent="0.2">
      <c r="Q247" s="1"/>
      <c r="AA247" s="29"/>
      <c r="AG247" s="1"/>
      <c r="AO247" s="29"/>
    </row>
    <row r="248" spans="17:41" x14ac:dyDescent="0.2">
      <c r="Q248" s="1"/>
      <c r="AA248" s="29"/>
      <c r="AG248" s="1"/>
      <c r="AO248" s="29"/>
    </row>
    <row r="249" spans="17:41" x14ac:dyDescent="0.2">
      <c r="Q249" s="1"/>
      <c r="AA249" s="29"/>
      <c r="AG249" s="1"/>
      <c r="AO249" s="29"/>
    </row>
    <row r="250" spans="17:41" x14ac:dyDescent="0.2">
      <c r="Q250" s="1"/>
      <c r="AA250" s="29"/>
      <c r="AG250" s="1"/>
      <c r="AO250" s="29"/>
    </row>
    <row r="251" spans="17:41" x14ac:dyDescent="0.2">
      <c r="Q251" s="1"/>
      <c r="AA251" s="29"/>
      <c r="AG251" s="1"/>
      <c r="AO251" s="29"/>
    </row>
    <row r="252" spans="17:41" x14ac:dyDescent="0.2">
      <c r="Q252" s="1"/>
      <c r="AA252" s="29"/>
      <c r="AG252" s="1"/>
      <c r="AO252" s="29"/>
    </row>
    <row r="253" spans="17:41" x14ac:dyDescent="0.2">
      <c r="Q253" s="1"/>
      <c r="AA253" s="29"/>
      <c r="AG253" s="1"/>
      <c r="AO253" s="29"/>
    </row>
    <row r="254" spans="17:41" x14ac:dyDescent="0.2">
      <c r="Q254" s="1"/>
      <c r="AA254" s="29"/>
      <c r="AG254" s="1"/>
      <c r="AO254" s="29"/>
    </row>
    <row r="255" spans="17:41" x14ac:dyDescent="0.2">
      <c r="Q255" s="1"/>
      <c r="AA255" s="29"/>
      <c r="AG255" s="1"/>
      <c r="AO255" s="29"/>
    </row>
    <row r="256" spans="17:41" x14ac:dyDescent="0.2">
      <c r="Q256" s="1"/>
      <c r="AA256" s="29"/>
      <c r="AG256" s="1"/>
      <c r="AO256" s="29"/>
    </row>
    <row r="257" spans="17:41" x14ac:dyDescent="0.2">
      <c r="Q257" s="1"/>
      <c r="AA257" s="29"/>
      <c r="AG257" s="1"/>
      <c r="AO257" s="29"/>
    </row>
  </sheetData>
  <phoneticPr fontId="6" type="noConversion"/>
  <pageMargins left="0.7" right="0.7" top="0.75" bottom="0.75" header="0.3" footer="0.3"/>
  <pageSetup paperSize="9" orientation="portrait"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Chiocca</dc:creator>
  <cp:lastModifiedBy>Freytag, Koenraad</cp:lastModifiedBy>
  <dcterms:created xsi:type="dcterms:W3CDTF">2015-06-05T18:19:34Z</dcterms:created>
  <dcterms:modified xsi:type="dcterms:W3CDTF">2026-10-26T08:57:34Z</dcterms:modified>
</cp:coreProperties>
</file>