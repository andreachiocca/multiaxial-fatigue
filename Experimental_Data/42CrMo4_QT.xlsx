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0268_unipi_it/Documents/FABER/_WG_4_3/Visiting_Aarhus/v6_2/Experimental_Data/"/>
    </mc:Choice>
  </mc:AlternateContent>
  <xr:revisionPtr revIDLastSave="1367" documentId="13_ncr:1_{B6241A85-8AF5-4DA4-A18C-73AB2898B46A}" xr6:coauthVersionLast="47" xr6:coauthVersionMax="47" xr10:uidLastSave="{DA2D975A-A381-422F-98AB-87BACFC2594F}"/>
  <bookViews>
    <workbookView xWindow="-120" yWindow="-120" windowWidth="29040" windowHeight="15720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O6" i="1"/>
  <c r="P6" i="1"/>
  <c r="Q6" i="1"/>
  <c r="R6" i="1"/>
  <c r="N7" i="1"/>
  <c r="O7" i="1"/>
  <c r="P7" i="1"/>
  <c r="Q7" i="1"/>
  <c r="R7" i="1"/>
  <c r="L119" i="2"/>
  <c r="AC119" i="2" s="1"/>
  <c r="L120" i="2"/>
  <c r="AC120" i="2" s="1"/>
  <c r="L121" i="2"/>
  <c r="AC121" i="2" s="1"/>
  <c r="L122" i="2"/>
  <c r="AC122" i="2" s="1"/>
  <c r="L123" i="2"/>
  <c r="AC123" i="2" s="1"/>
  <c r="M119" i="2"/>
  <c r="AF119" i="2" s="1"/>
  <c r="M120" i="2"/>
  <c r="AF120" i="2" s="1"/>
  <c r="M121" i="2"/>
  <c r="AF121" i="2" s="1"/>
  <c r="M122" i="2"/>
  <c r="AF122" i="2" s="1"/>
  <c r="M123" i="2"/>
  <c r="S119" i="2"/>
  <c r="Y119" i="2" s="1"/>
  <c r="S120" i="2"/>
  <c r="Y120" i="2" s="1"/>
  <c r="S121" i="2"/>
  <c r="Y121" i="2" s="1"/>
  <c r="S122" i="2"/>
  <c r="Y122" i="2" s="1"/>
  <c r="S123" i="2"/>
  <c r="Y123" i="2" s="1"/>
  <c r="U119" i="2"/>
  <c r="U120" i="2"/>
  <c r="U121" i="2"/>
  <c r="AB121" i="2" s="1"/>
  <c r="U122" i="2"/>
  <c r="U123" i="2"/>
  <c r="W119" i="2"/>
  <c r="W120" i="2"/>
  <c r="W121" i="2"/>
  <c r="W122" i="2"/>
  <c r="W123" i="2"/>
  <c r="Z119" i="2"/>
  <c r="Z120" i="2"/>
  <c r="Z121" i="2"/>
  <c r="Z122" i="2"/>
  <c r="Z123" i="2"/>
  <c r="AH119" i="2"/>
  <c r="AH120" i="2"/>
  <c r="AH121" i="2"/>
  <c r="AH122" i="2"/>
  <c r="AH123" i="2"/>
  <c r="AI119" i="2"/>
  <c r="AI120" i="2"/>
  <c r="AI121" i="2"/>
  <c r="AI122" i="2"/>
  <c r="AI123" i="2"/>
  <c r="L118" i="2"/>
  <c r="AC118" i="2" s="1"/>
  <c r="M118" i="2"/>
  <c r="AF118" i="2" s="1"/>
  <c r="S118" i="2"/>
  <c r="Y118" i="2" s="1"/>
  <c r="U118" i="2"/>
  <c r="W118" i="2"/>
  <c r="Z118" i="2"/>
  <c r="AH118" i="2"/>
  <c r="AI118" i="2"/>
  <c r="L112" i="2"/>
  <c r="L113" i="2"/>
  <c r="AC113" i="2" s="1"/>
  <c r="L114" i="2"/>
  <c r="AC114" i="2" s="1"/>
  <c r="L115" i="2"/>
  <c r="L116" i="2"/>
  <c r="AC116" i="2" s="1"/>
  <c r="L117" i="2"/>
  <c r="AC117" i="2" s="1"/>
  <c r="M112" i="2"/>
  <c r="AF112" i="2" s="1"/>
  <c r="M113" i="2"/>
  <c r="AF113" i="2" s="1"/>
  <c r="M114" i="2"/>
  <c r="AF114" i="2" s="1"/>
  <c r="M115" i="2"/>
  <c r="AF115" i="2" s="1"/>
  <c r="M116" i="2"/>
  <c r="AF116" i="2" s="1"/>
  <c r="M117" i="2"/>
  <c r="AF117" i="2" s="1"/>
  <c r="S112" i="2"/>
  <c r="Y112" i="2" s="1"/>
  <c r="S113" i="2"/>
  <c r="Y113" i="2" s="1"/>
  <c r="S114" i="2"/>
  <c r="Y114" i="2" s="1"/>
  <c r="S115" i="2"/>
  <c r="Y115" i="2" s="1"/>
  <c r="S116" i="2"/>
  <c r="Y116" i="2" s="1"/>
  <c r="S117" i="2"/>
  <c r="Y117" i="2" s="1"/>
  <c r="U112" i="2"/>
  <c r="U113" i="2"/>
  <c r="U114" i="2"/>
  <c r="U115" i="2"/>
  <c r="U116" i="2"/>
  <c r="U117" i="2"/>
  <c r="W112" i="2"/>
  <c r="W113" i="2"/>
  <c r="W114" i="2"/>
  <c r="W115" i="2"/>
  <c r="W116" i="2"/>
  <c r="W117" i="2"/>
  <c r="Z112" i="2"/>
  <c r="Z113" i="2"/>
  <c r="Z114" i="2"/>
  <c r="Z115" i="2"/>
  <c r="Z116" i="2"/>
  <c r="Z117" i="2"/>
  <c r="AH112" i="2"/>
  <c r="AH113" i="2"/>
  <c r="AH114" i="2"/>
  <c r="AH115" i="2"/>
  <c r="AH116" i="2"/>
  <c r="AH117" i="2"/>
  <c r="AI112" i="2"/>
  <c r="AI113" i="2"/>
  <c r="AI114" i="2"/>
  <c r="AI115" i="2"/>
  <c r="AI116" i="2"/>
  <c r="AI117" i="2"/>
  <c r="L111" i="2"/>
  <c r="AC111" i="2" s="1"/>
  <c r="M111" i="2"/>
  <c r="S111" i="2"/>
  <c r="Y111" i="2" s="1"/>
  <c r="U111" i="2"/>
  <c r="W111" i="2"/>
  <c r="Z111" i="2"/>
  <c r="AH111" i="2"/>
  <c r="AI111" i="2"/>
  <c r="K5" i="1"/>
  <c r="L110" i="2"/>
  <c r="AC110" i="2" s="1"/>
  <c r="M110" i="2"/>
  <c r="AF110" i="2" s="1"/>
  <c r="S110" i="2"/>
  <c r="Y110" i="2" s="1"/>
  <c r="U110" i="2"/>
  <c r="W110" i="2"/>
  <c r="Z110" i="2"/>
  <c r="AH110" i="2"/>
  <c r="AI110" i="2"/>
  <c r="L104" i="2"/>
  <c r="AC104" i="2" s="1"/>
  <c r="M104" i="2"/>
  <c r="AF104" i="2" s="1"/>
  <c r="S104" i="2"/>
  <c r="Y104" i="2" s="1"/>
  <c r="U104" i="2"/>
  <c r="W104" i="2"/>
  <c r="Z104" i="2"/>
  <c r="AH104" i="2"/>
  <c r="AI104" i="2"/>
  <c r="L105" i="2"/>
  <c r="AC105" i="2" s="1"/>
  <c r="M105" i="2"/>
  <c r="AF105" i="2" s="1"/>
  <c r="S105" i="2"/>
  <c r="Y105" i="2" s="1"/>
  <c r="U105" i="2"/>
  <c r="W105" i="2"/>
  <c r="Z105" i="2"/>
  <c r="AH105" i="2"/>
  <c r="AI105" i="2"/>
  <c r="L106" i="2"/>
  <c r="AC106" i="2" s="1"/>
  <c r="M106" i="2"/>
  <c r="S106" i="2"/>
  <c r="Y106" i="2" s="1"/>
  <c r="U106" i="2"/>
  <c r="W106" i="2"/>
  <c r="Z106" i="2"/>
  <c r="AH106" i="2"/>
  <c r="AI106" i="2"/>
  <c r="L107" i="2"/>
  <c r="AC107" i="2" s="1"/>
  <c r="M107" i="2"/>
  <c r="AF107" i="2" s="1"/>
  <c r="S107" i="2"/>
  <c r="Y107" i="2" s="1"/>
  <c r="U107" i="2"/>
  <c r="W107" i="2"/>
  <c r="Z107" i="2"/>
  <c r="AH107" i="2"/>
  <c r="AI107" i="2"/>
  <c r="L108" i="2"/>
  <c r="AC108" i="2" s="1"/>
  <c r="M108" i="2"/>
  <c r="AF108" i="2" s="1"/>
  <c r="S108" i="2"/>
  <c r="Y108" i="2" s="1"/>
  <c r="U108" i="2"/>
  <c r="W108" i="2"/>
  <c r="Z108" i="2"/>
  <c r="AH108" i="2"/>
  <c r="AI108" i="2"/>
  <c r="L109" i="2"/>
  <c r="AC109" i="2" s="1"/>
  <c r="M109" i="2"/>
  <c r="AF109" i="2" s="1"/>
  <c r="S109" i="2"/>
  <c r="Y109" i="2" s="1"/>
  <c r="U109" i="2"/>
  <c r="W109" i="2"/>
  <c r="Z109" i="2"/>
  <c r="AH109" i="2"/>
  <c r="AI109" i="2"/>
  <c r="L96" i="2"/>
  <c r="AC96" i="2" s="1"/>
  <c r="L97" i="2"/>
  <c r="AC97" i="2" s="1"/>
  <c r="L98" i="2"/>
  <c r="AC98" i="2" s="1"/>
  <c r="L99" i="2"/>
  <c r="AC99" i="2" s="1"/>
  <c r="L100" i="2"/>
  <c r="AC100" i="2" s="1"/>
  <c r="L101" i="2"/>
  <c r="AC101" i="2" s="1"/>
  <c r="L102" i="2"/>
  <c r="AC102" i="2" s="1"/>
  <c r="L103" i="2"/>
  <c r="AC103" i="2" s="1"/>
  <c r="M96" i="2"/>
  <c r="AF96" i="2" s="1"/>
  <c r="M97" i="2"/>
  <c r="AF97" i="2" s="1"/>
  <c r="M98" i="2"/>
  <c r="AF98" i="2" s="1"/>
  <c r="M99" i="2"/>
  <c r="AF99" i="2" s="1"/>
  <c r="M100" i="2"/>
  <c r="AF100" i="2" s="1"/>
  <c r="M101" i="2"/>
  <c r="AF101" i="2" s="1"/>
  <c r="M102" i="2"/>
  <c r="AF102" i="2" s="1"/>
  <c r="M103" i="2"/>
  <c r="AF103" i="2" s="1"/>
  <c r="S96" i="2"/>
  <c r="Y96" i="2" s="1"/>
  <c r="S97" i="2"/>
  <c r="Y97" i="2" s="1"/>
  <c r="S98" i="2"/>
  <c r="Y98" i="2" s="1"/>
  <c r="S99" i="2"/>
  <c r="Y99" i="2" s="1"/>
  <c r="S100" i="2"/>
  <c r="Y100" i="2" s="1"/>
  <c r="S101" i="2"/>
  <c r="Y101" i="2" s="1"/>
  <c r="S102" i="2"/>
  <c r="Y102" i="2" s="1"/>
  <c r="S103" i="2"/>
  <c r="Y103" i="2" s="1"/>
  <c r="U96" i="2"/>
  <c r="U97" i="2"/>
  <c r="U98" i="2"/>
  <c r="U99" i="2"/>
  <c r="U100" i="2"/>
  <c r="U101" i="2"/>
  <c r="U102" i="2"/>
  <c r="U103" i="2"/>
  <c r="W96" i="2"/>
  <c r="W97" i="2"/>
  <c r="W98" i="2"/>
  <c r="W99" i="2"/>
  <c r="W100" i="2"/>
  <c r="W101" i="2"/>
  <c r="W102" i="2"/>
  <c r="W103" i="2"/>
  <c r="Z96" i="2"/>
  <c r="Z97" i="2"/>
  <c r="Z98" i="2"/>
  <c r="Z99" i="2"/>
  <c r="Z100" i="2"/>
  <c r="Z101" i="2"/>
  <c r="Z102" i="2"/>
  <c r="Z103" i="2"/>
  <c r="AH96" i="2"/>
  <c r="AH97" i="2"/>
  <c r="AH98" i="2"/>
  <c r="AH99" i="2"/>
  <c r="AH100" i="2"/>
  <c r="AH101" i="2"/>
  <c r="AH102" i="2"/>
  <c r="AH103" i="2"/>
  <c r="AI96" i="2"/>
  <c r="AI97" i="2"/>
  <c r="AI98" i="2"/>
  <c r="AI99" i="2"/>
  <c r="AI100" i="2"/>
  <c r="AI101" i="2"/>
  <c r="AI102" i="2"/>
  <c r="AI103" i="2"/>
  <c r="L95" i="2"/>
  <c r="AC95" i="2" s="1"/>
  <c r="M95" i="2"/>
  <c r="AF95" i="2" s="1"/>
  <c r="S95" i="2"/>
  <c r="Y95" i="2" s="1"/>
  <c r="U95" i="2"/>
  <c r="W95" i="2"/>
  <c r="Z95" i="2"/>
  <c r="AH95" i="2"/>
  <c r="AI95" i="2"/>
  <c r="F7" i="1"/>
  <c r="G7" i="1"/>
  <c r="H7" i="1"/>
  <c r="I7" i="1"/>
  <c r="J7" i="1"/>
  <c r="K4" i="1"/>
  <c r="M7" i="1"/>
  <c r="L7" i="1"/>
  <c r="M6" i="1"/>
  <c r="L6" i="1"/>
  <c r="AI94" i="2"/>
  <c r="AH94" i="2"/>
  <c r="Z94" i="2"/>
  <c r="AI93" i="2"/>
  <c r="AH93" i="2"/>
  <c r="Z93" i="2"/>
  <c r="AI92" i="2"/>
  <c r="AH92" i="2"/>
  <c r="Z92" i="2"/>
  <c r="AI91" i="2"/>
  <c r="AH91" i="2"/>
  <c r="Z91" i="2"/>
  <c r="AI90" i="2"/>
  <c r="AH90" i="2"/>
  <c r="Z90" i="2"/>
  <c r="AI89" i="2"/>
  <c r="AH89" i="2"/>
  <c r="Z89" i="2"/>
  <c r="AI88" i="2"/>
  <c r="AH88" i="2"/>
  <c r="Z88" i="2"/>
  <c r="AI87" i="2"/>
  <c r="AH87" i="2"/>
  <c r="Z87" i="2"/>
  <c r="AI86" i="2"/>
  <c r="AH86" i="2"/>
  <c r="Z86" i="2"/>
  <c r="W94" i="2"/>
  <c r="U94" i="2"/>
  <c r="S94" i="2"/>
  <c r="Y94" i="2" s="1"/>
  <c r="W93" i="2"/>
  <c r="U93" i="2"/>
  <c r="S93" i="2"/>
  <c r="Y93" i="2" s="1"/>
  <c r="W92" i="2"/>
  <c r="U92" i="2"/>
  <c r="S92" i="2"/>
  <c r="Y92" i="2" s="1"/>
  <c r="W91" i="2"/>
  <c r="U91" i="2"/>
  <c r="S91" i="2"/>
  <c r="Y91" i="2" s="1"/>
  <c r="W90" i="2"/>
  <c r="U90" i="2"/>
  <c r="S90" i="2"/>
  <c r="Y90" i="2" s="1"/>
  <c r="W89" i="2"/>
  <c r="U89" i="2"/>
  <c r="S89" i="2"/>
  <c r="Y89" i="2" s="1"/>
  <c r="W88" i="2"/>
  <c r="U88" i="2"/>
  <c r="S88" i="2"/>
  <c r="Y88" i="2" s="1"/>
  <c r="W87" i="2"/>
  <c r="U87" i="2"/>
  <c r="S87" i="2"/>
  <c r="Y87" i="2" s="1"/>
  <c r="W86" i="2"/>
  <c r="U86" i="2"/>
  <c r="S86" i="2"/>
  <c r="Y86" i="2" s="1"/>
  <c r="M94" i="2"/>
  <c r="AF94" i="2" s="1"/>
  <c r="L94" i="2"/>
  <c r="AC94" i="2" s="1"/>
  <c r="M93" i="2"/>
  <c r="AF93" i="2" s="1"/>
  <c r="L93" i="2"/>
  <c r="AC93" i="2" s="1"/>
  <c r="M92" i="2"/>
  <c r="AF92" i="2" s="1"/>
  <c r="L92" i="2"/>
  <c r="AC92" i="2" s="1"/>
  <c r="M91" i="2"/>
  <c r="AF91" i="2" s="1"/>
  <c r="L91" i="2"/>
  <c r="AC91" i="2" s="1"/>
  <c r="M90" i="2"/>
  <c r="AF90" i="2" s="1"/>
  <c r="L90" i="2"/>
  <c r="AC90" i="2" s="1"/>
  <c r="M89" i="2"/>
  <c r="AF89" i="2" s="1"/>
  <c r="L89" i="2"/>
  <c r="AC89" i="2" s="1"/>
  <c r="M88" i="2"/>
  <c r="AF88" i="2" s="1"/>
  <c r="L88" i="2"/>
  <c r="AC88" i="2" s="1"/>
  <c r="M87" i="2"/>
  <c r="AF87" i="2" s="1"/>
  <c r="L87" i="2"/>
  <c r="AC87" i="2" s="1"/>
  <c r="M86" i="2"/>
  <c r="AF86" i="2" s="1"/>
  <c r="L86" i="2"/>
  <c r="AC86" i="2" s="1"/>
  <c r="AI85" i="2"/>
  <c r="AH85" i="2"/>
  <c r="Z85" i="2"/>
  <c r="AI84" i="2"/>
  <c r="AH84" i="2"/>
  <c r="Z84" i="2"/>
  <c r="AI83" i="2"/>
  <c r="AH83" i="2"/>
  <c r="Z83" i="2"/>
  <c r="AI82" i="2"/>
  <c r="AH82" i="2"/>
  <c r="Z82" i="2"/>
  <c r="AI81" i="2"/>
  <c r="AH81" i="2"/>
  <c r="Z81" i="2"/>
  <c r="AI80" i="2"/>
  <c r="AH80" i="2"/>
  <c r="Z80" i="2"/>
  <c r="AI79" i="2"/>
  <c r="AH79" i="2"/>
  <c r="Z79" i="2"/>
  <c r="AI78" i="2"/>
  <c r="AH78" i="2"/>
  <c r="Z78" i="2"/>
  <c r="AI77" i="2"/>
  <c r="AH77" i="2"/>
  <c r="Z77" i="2"/>
  <c r="AI76" i="2"/>
  <c r="AH76" i="2"/>
  <c r="Z76" i="2"/>
  <c r="AI75" i="2"/>
  <c r="AH75" i="2"/>
  <c r="Z75" i="2"/>
  <c r="W85" i="2"/>
  <c r="U85" i="2"/>
  <c r="S85" i="2"/>
  <c r="Y85" i="2" s="1"/>
  <c r="W84" i="2"/>
  <c r="U84" i="2"/>
  <c r="S84" i="2"/>
  <c r="Y84" i="2" s="1"/>
  <c r="W83" i="2"/>
  <c r="U83" i="2"/>
  <c r="S83" i="2"/>
  <c r="Y83" i="2" s="1"/>
  <c r="W82" i="2"/>
  <c r="U82" i="2"/>
  <c r="S82" i="2"/>
  <c r="Y82" i="2" s="1"/>
  <c r="W81" i="2"/>
  <c r="U81" i="2"/>
  <c r="S81" i="2"/>
  <c r="Y81" i="2" s="1"/>
  <c r="W80" i="2"/>
  <c r="U80" i="2"/>
  <c r="S80" i="2"/>
  <c r="Y80" i="2" s="1"/>
  <c r="W79" i="2"/>
  <c r="U79" i="2"/>
  <c r="S79" i="2"/>
  <c r="Y79" i="2" s="1"/>
  <c r="W78" i="2"/>
  <c r="U78" i="2"/>
  <c r="S78" i="2"/>
  <c r="Y78" i="2" s="1"/>
  <c r="W77" i="2"/>
  <c r="U77" i="2"/>
  <c r="S77" i="2"/>
  <c r="Y77" i="2" s="1"/>
  <c r="W76" i="2"/>
  <c r="U76" i="2"/>
  <c r="S76" i="2"/>
  <c r="Y76" i="2" s="1"/>
  <c r="W75" i="2"/>
  <c r="U75" i="2"/>
  <c r="S75" i="2"/>
  <c r="Y75" i="2" s="1"/>
  <c r="M85" i="2"/>
  <c r="AF85" i="2" s="1"/>
  <c r="L85" i="2"/>
  <c r="AC85" i="2" s="1"/>
  <c r="M84" i="2"/>
  <c r="AF84" i="2" s="1"/>
  <c r="L84" i="2"/>
  <c r="AC84" i="2" s="1"/>
  <c r="M83" i="2"/>
  <c r="AF83" i="2" s="1"/>
  <c r="L83" i="2"/>
  <c r="AC83" i="2" s="1"/>
  <c r="M82" i="2"/>
  <c r="AF82" i="2" s="1"/>
  <c r="L82" i="2"/>
  <c r="AC82" i="2" s="1"/>
  <c r="M81" i="2"/>
  <c r="AF81" i="2" s="1"/>
  <c r="L81" i="2"/>
  <c r="AC81" i="2" s="1"/>
  <c r="M80" i="2"/>
  <c r="AF80" i="2" s="1"/>
  <c r="L80" i="2"/>
  <c r="AC80" i="2" s="1"/>
  <c r="M79" i="2"/>
  <c r="AF79" i="2" s="1"/>
  <c r="L79" i="2"/>
  <c r="AC79" i="2" s="1"/>
  <c r="M78" i="2"/>
  <c r="AF78" i="2" s="1"/>
  <c r="L78" i="2"/>
  <c r="AC78" i="2" s="1"/>
  <c r="M77" i="2"/>
  <c r="AF77" i="2" s="1"/>
  <c r="L77" i="2"/>
  <c r="AC77" i="2" s="1"/>
  <c r="M76" i="2"/>
  <c r="AF76" i="2" s="1"/>
  <c r="L76" i="2"/>
  <c r="AC76" i="2" s="1"/>
  <c r="M75" i="2"/>
  <c r="AF75" i="2" s="1"/>
  <c r="L75" i="2"/>
  <c r="AC75" i="2" s="1"/>
  <c r="AI74" i="2"/>
  <c r="AH74" i="2"/>
  <c r="Z74" i="2"/>
  <c r="AI73" i="2"/>
  <c r="AH73" i="2"/>
  <c r="Z73" i="2"/>
  <c r="AI72" i="2"/>
  <c r="AH72" i="2"/>
  <c r="Z72" i="2"/>
  <c r="AI71" i="2"/>
  <c r="AH71" i="2"/>
  <c r="Z71" i="2"/>
  <c r="AI70" i="2"/>
  <c r="AH70" i="2"/>
  <c r="Z70" i="2"/>
  <c r="AI69" i="2"/>
  <c r="AH69" i="2"/>
  <c r="Z69" i="2"/>
  <c r="AI68" i="2"/>
  <c r="AH68" i="2"/>
  <c r="Z68" i="2"/>
  <c r="AI67" i="2"/>
  <c r="AH67" i="2"/>
  <c r="Z67" i="2"/>
  <c r="AI66" i="2"/>
  <c r="AH66" i="2"/>
  <c r="Z66" i="2"/>
  <c r="AI65" i="2"/>
  <c r="AH65" i="2"/>
  <c r="Z65" i="2"/>
  <c r="AI64" i="2"/>
  <c r="AH64" i="2"/>
  <c r="Z64" i="2"/>
  <c r="AI63" i="2"/>
  <c r="AH63" i="2"/>
  <c r="Z63" i="2"/>
  <c r="AI62" i="2"/>
  <c r="AH62" i="2"/>
  <c r="Z62" i="2"/>
  <c r="W74" i="2"/>
  <c r="U74" i="2"/>
  <c r="S74" i="2"/>
  <c r="Y74" i="2" s="1"/>
  <c r="W73" i="2"/>
  <c r="U73" i="2"/>
  <c r="S73" i="2"/>
  <c r="Y73" i="2" s="1"/>
  <c r="W72" i="2"/>
  <c r="U72" i="2"/>
  <c r="S72" i="2"/>
  <c r="Y72" i="2" s="1"/>
  <c r="W71" i="2"/>
  <c r="U71" i="2"/>
  <c r="S71" i="2"/>
  <c r="Y71" i="2" s="1"/>
  <c r="W70" i="2"/>
  <c r="U70" i="2"/>
  <c r="S70" i="2"/>
  <c r="Y70" i="2" s="1"/>
  <c r="W69" i="2"/>
  <c r="U69" i="2"/>
  <c r="S69" i="2"/>
  <c r="Y69" i="2" s="1"/>
  <c r="W68" i="2"/>
  <c r="U68" i="2"/>
  <c r="S68" i="2"/>
  <c r="Y68" i="2" s="1"/>
  <c r="W67" i="2"/>
  <c r="U67" i="2"/>
  <c r="S67" i="2"/>
  <c r="Y67" i="2" s="1"/>
  <c r="W66" i="2"/>
  <c r="U66" i="2"/>
  <c r="S66" i="2"/>
  <c r="Y66" i="2" s="1"/>
  <c r="W65" i="2"/>
  <c r="U65" i="2"/>
  <c r="S65" i="2"/>
  <c r="Y65" i="2" s="1"/>
  <c r="W64" i="2"/>
  <c r="U64" i="2"/>
  <c r="S64" i="2"/>
  <c r="Y64" i="2" s="1"/>
  <c r="W63" i="2"/>
  <c r="U63" i="2"/>
  <c r="S63" i="2"/>
  <c r="Y63" i="2" s="1"/>
  <c r="W62" i="2"/>
  <c r="U62" i="2"/>
  <c r="S62" i="2"/>
  <c r="Y62" i="2" s="1"/>
  <c r="M74" i="2"/>
  <c r="AF74" i="2" s="1"/>
  <c r="L74" i="2"/>
  <c r="AC74" i="2" s="1"/>
  <c r="M73" i="2"/>
  <c r="AF73" i="2" s="1"/>
  <c r="L73" i="2"/>
  <c r="AC73" i="2" s="1"/>
  <c r="M72" i="2"/>
  <c r="AF72" i="2" s="1"/>
  <c r="L72" i="2"/>
  <c r="AC72" i="2" s="1"/>
  <c r="M71" i="2"/>
  <c r="AF71" i="2" s="1"/>
  <c r="L71" i="2"/>
  <c r="AC71" i="2" s="1"/>
  <c r="M70" i="2"/>
  <c r="AF70" i="2" s="1"/>
  <c r="L70" i="2"/>
  <c r="M69" i="2"/>
  <c r="AF69" i="2" s="1"/>
  <c r="L69" i="2"/>
  <c r="AC69" i="2" s="1"/>
  <c r="M68" i="2"/>
  <c r="AF68" i="2" s="1"/>
  <c r="L68" i="2"/>
  <c r="AC68" i="2" s="1"/>
  <c r="M67" i="2"/>
  <c r="AF67" i="2" s="1"/>
  <c r="L67" i="2"/>
  <c r="AC67" i="2" s="1"/>
  <c r="M66" i="2"/>
  <c r="AF66" i="2" s="1"/>
  <c r="L66" i="2"/>
  <c r="AC66" i="2" s="1"/>
  <c r="M65" i="2"/>
  <c r="AF65" i="2" s="1"/>
  <c r="L65" i="2"/>
  <c r="AC65" i="2" s="1"/>
  <c r="M64" i="2"/>
  <c r="AF64" i="2" s="1"/>
  <c r="L64" i="2"/>
  <c r="AC64" i="2" s="1"/>
  <c r="M63" i="2"/>
  <c r="AF63" i="2" s="1"/>
  <c r="L63" i="2"/>
  <c r="AC63" i="2" s="1"/>
  <c r="M62" i="2"/>
  <c r="AF62" i="2" s="1"/>
  <c r="L62" i="2"/>
  <c r="AC62" i="2" s="1"/>
  <c r="AI61" i="2"/>
  <c r="AH61" i="2"/>
  <c r="Z61" i="2"/>
  <c r="W61" i="2"/>
  <c r="AI60" i="2"/>
  <c r="AH60" i="2"/>
  <c r="Z60" i="2"/>
  <c r="W60" i="2"/>
  <c r="AI59" i="2"/>
  <c r="AH59" i="2"/>
  <c r="Z59" i="2"/>
  <c r="W59" i="2"/>
  <c r="AI58" i="2"/>
  <c r="AH58" i="2"/>
  <c r="Z58" i="2"/>
  <c r="W58" i="2"/>
  <c r="AI57" i="2"/>
  <c r="AH57" i="2"/>
  <c r="Z57" i="2"/>
  <c r="W57" i="2"/>
  <c r="AI56" i="2"/>
  <c r="AH56" i="2"/>
  <c r="Z56" i="2"/>
  <c r="W56" i="2"/>
  <c r="AI55" i="2"/>
  <c r="AH55" i="2"/>
  <c r="Z55" i="2"/>
  <c r="W55" i="2"/>
  <c r="AI54" i="2"/>
  <c r="AH54" i="2"/>
  <c r="Z54" i="2"/>
  <c r="W54" i="2"/>
  <c r="AI53" i="2"/>
  <c r="AH53" i="2"/>
  <c r="Z53" i="2"/>
  <c r="W53" i="2"/>
  <c r="AI52" i="2"/>
  <c r="AH52" i="2"/>
  <c r="Z52" i="2"/>
  <c r="W52" i="2"/>
  <c r="AI51" i="2"/>
  <c r="AH51" i="2"/>
  <c r="Z51" i="2"/>
  <c r="W51" i="2"/>
  <c r="AI50" i="2"/>
  <c r="AH50" i="2"/>
  <c r="Z50" i="2"/>
  <c r="W50" i="2"/>
  <c r="AI49" i="2"/>
  <c r="AH49" i="2"/>
  <c r="Z49" i="2"/>
  <c r="W49" i="2"/>
  <c r="AI48" i="2"/>
  <c r="AH48" i="2"/>
  <c r="Z48" i="2"/>
  <c r="W48" i="2"/>
  <c r="U61" i="2"/>
  <c r="S61" i="2"/>
  <c r="Y61" i="2" s="1"/>
  <c r="M61" i="2"/>
  <c r="AF61" i="2" s="1"/>
  <c r="L61" i="2"/>
  <c r="AC61" i="2" s="1"/>
  <c r="U60" i="2"/>
  <c r="S60" i="2"/>
  <c r="Y60" i="2" s="1"/>
  <c r="M60" i="2"/>
  <c r="AF60" i="2" s="1"/>
  <c r="L60" i="2"/>
  <c r="AC60" i="2" s="1"/>
  <c r="U59" i="2"/>
  <c r="S59" i="2"/>
  <c r="Y59" i="2" s="1"/>
  <c r="M59" i="2"/>
  <c r="AF59" i="2" s="1"/>
  <c r="L59" i="2"/>
  <c r="AC59" i="2" s="1"/>
  <c r="U58" i="2"/>
  <c r="S58" i="2"/>
  <c r="Y58" i="2" s="1"/>
  <c r="M58" i="2"/>
  <c r="AF58" i="2" s="1"/>
  <c r="L58" i="2"/>
  <c r="AC58" i="2" s="1"/>
  <c r="U57" i="2"/>
  <c r="S57" i="2"/>
  <c r="Y57" i="2" s="1"/>
  <c r="M57" i="2"/>
  <c r="AF57" i="2" s="1"/>
  <c r="L57" i="2"/>
  <c r="AC57" i="2" s="1"/>
  <c r="U56" i="2"/>
  <c r="S56" i="2"/>
  <c r="Y56" i="2" s="1"/>
  <c r="M56" i="2"/>
  <c r="AF56" i="2" s="1"/>
  <c r="L56" i="2"/>
  <c r="AC56" i="2" s="1"/>
  <c r="U55" i="2"/>
  <c r="S55" i="2"/>
  <c r="Y55" i="2" s="1"/>
  <c r="M55" i="2"/>
  <c r="AF55" i="2" s="1"/>
  <c r="L55" i="2"/>
  <c r="AC55" i="2" s="1"/>
  <c r="U54" i="2"/>
  <c r="S54" i="2"/>
  <c r="Y54" i="2" s="1"/>
  <c r="M54" i="2"/>
  <c r="AF54" i="2" s="1"/>
  <c r="L54" i="2"/>
  <c r="AC54" i="2" s="1"/>
  <c r="U53" i="2"/>
  <c r="S53" i="2"/>
  <c r="Y53" i="2" s="1"/>
  <c r="M53" i="2"/>
  <c r="AF53" i="2" s="1"/>
  <c r="L53" i="2"/>
  <c r="AC53" i="2" s="1"/>
  <c r="U52" i="2"/>
  <c r="S52" i="2"/>
  <c r="Y52" i="2" s="1"/>
  <c r="M52" i="2"/>
  <c r="AF52" i="2" s="1"/>
  <c r="L52" i="2"/>
  <c r="AC52" i="2" s="1"/>
  <c r="U51" i="2"/>
  <c r="S51" i="2"/>
  <c r="Y51" i="2" s="1"/>
  <c r="M51" i="2"/>
  <c r="AF51" i="2" s="1"/>
  <c r="L51" i="2"/>
  <c r="AC51" i="2" s="1"/>
  <c r="U50" i="2"/>
  <c r="S50" i="2"/>
  <c r="Y50" i="2" s="1"/>
  <c r="M50" i="2"/>
  <c r="AF50" i="2" s="1"/>
  <c r="L50" i="2"/>
  <c r="AC50" i="2" s="1"/>
  <c r="U49" i="2"/>
  <c r="S49" i="2"/>
  <c r="Y49" i="2" s="1"/>
  <c r="M49" i="2"/>
  <c r="AF49" i="2" s="1"/>
  <c r="L49" i="2"/>
  <c r="AC49" i="2" s="1"/>
  <c r="U48" i="2"/>
  <c r="S48" i="2"/>
  <c r="Y48" i="2" s="1"/>
  <c r="M48" i="2"/>
  <c r="AF48" i="2" s="1"/>
  <c r="L48" i="2"/>
  <c r="AC48" i="2" s="1"/>
  <c r="AI47" i="2"/>
  <c r="AH47" i="2"/>
  <c r="Z47" i="2"/>
  <c r="W47" i="2"/>
  <c r="AI46" i="2"/>
  <c r="AH46" i="2"/>
  <c r="Z46" i="2"/>
  <c r="W46" i="2"/>
  <c r="AI45" i="2"/>
  <c r="AH45" i="2"/>
  <c r="Z45" i="2"/>
  <c r="W45" i="2"/>
  <c r="AI44" i="2"/>
  <c r="AH44" i="2"/>
  <c r="Z44" i="2"/>
  <c r="W44" i="2"/>
  <c r="AI43" i="2"/>
  <c r="AH43" i="2"/>
  <c r="Z43" i="2"/>
  <c r="W43" i="2"/>
  <c r="AI42" i="2"/>
  <c r="AH42" i="2"/>
  <c r="Z42" i="2"/>
  <c r="W42" i="2"/>
  <c r="AI41" i="2"/>
  <c r="AH41" i="2"/>
  <c r="Z41" i="2"/>
  <c r="W41" i="2"/>
  <c r="AI40" i="2"/>
  <c r="AH40" i="2"/>
  <c r="Z40" i="2"/>
  <c r="W40" i="2"/>
  <c r="AI39" i="2"/>
  <c r="AH39" i="2"/>
  <c r="Z39" i="2"/>
  <c r="W39" i="2"/>
  <c r="AI38" i="2"/>
  <c r="AH38" i="2"/>
  <c r="Z38" i="2"/>
  <c r="W38" i="2"/>
  <c r="AI37" i="2"/>
  <c r="AH37" i="2"/>
  <c r="Z37" i="2"/>
  <c r="W37" i="2"/>
  <c r="AI36" i="2"/>
  <c r="AH36" i="2"/>
  <c r="Z36" i="2"/>
  <c r="W36" i="2"/>
  <c r="AI35" i="2"/>
  <c r="AH35" i="2"/>
  <c r="Z35" i="2"/>
  <c r="W35" i="2"/>
  <c r="AI34" i="2"/>
  <c r="AH34" i="2"/>
  <c r="Z34" i="2"/>
  <c r="W34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S47" i="2"/>
  <c r="Y47" i="2" s="1"/>
  <c r="M47" i="2"/>
  <c r="AF47" i="2" s="1"/>
  <c r="L47" i="2"/>
  <c r="AC47" i="2" s="1"/>
  <c r="S46" i="2"/>
  <c r="Y46" i="2" s="1"/>
  <c r="M46" i="2"/>
  <c r="AF46" i="2" s="1"/>
  <c r="L46" i="2"/>
  <c r="AC46" i="2" s="1"/>
  <c r="S45" i="2"/>
  <c r="Y45" i="2" s="1"/>
  <c r="M45" i="2"/>
  <c r="AF45" i="2" s="1"/>
  <c r="L45" i="2"/>
  <c r="AC45" i="2" s="1"/>
  <c r="S44" i="2"/>
  <c r="Y44" i="2" s="1"/>
  <c r="M44" i="2"/>
  <c r="AF44" i="2" s="1"/>
  <c r="L44" i="2"/>
  <c r="AC44" i="2" s="1"/>
  <c r="S43" i="2"/>
  <c r="Y43" i="2" s="1"/>
  <c r="M43" i="2"/>
  <c r="AF43" i="2" s="1"/>
  <c r="L43" i="2"/>
  <c r="AC43" i="2" s="1"/>
  <c r="S42" i="2"/>
  <c r="Y42" i="2" s="1"/>
  <c r="M42" i="2"/>
  <c r="AF42" i="2" s="1"/>
  <c r="L42" i="2"/>
  <c r="AC42" i="2" s="1"/>
  <c r="S41" i="2"/>
  <c r="Y41" i="2" s="1"/>
  <c r="M41" i="2"/>
  <c r="AF41" i="2" s="1"/>
  <c r="L41" i="2"/>
  <c r="AC41" i="2" s="1"/>
  <c r="S40" i="2"/>
  <c r="Y40" i="2" s="1"/>
  <c r="M40" i="2"/>
  <c r="AF40" i="2" s="1"/>
  <c r="L40" i="2"/>
  <c r="AC40" i="2" s="1"/>
  <c r="S39" i="2"/>
  <c r="Y39" i="2" s="1"/>
  <c r="M39" i="2"/>
  <c r="AF39" i="2" s="1"/>
  <c r="L39" i="2"/>
  <c r="AC39" i="2" s="1"/>
  <c r="S38" i="2"/>
  <c r="Y38" i="2" s="1"/>
  <c r="M38" i="2"/>
  <c r="AF38" i="2" s="1"/>
  <c r="L38" i="2"/>
  <c r="AC38" i="2" s="1"/>
  <c r="S37" i="2"/>
  <c r="Y37" i="2" s="1"/>
  <c r="M37" i="2"/>
  <c r="AF37" i="2" s="1"/>
  <c r="L37" i="2"/>
  <c r="AC37" i="2" s="1"/>
  <c r="S36" i="2"/>
  <c r="Y36" i="2" s="1"/>
  <c r="M36" i="2"/>
  <c r="AF36" i="2" s="1"/>
  <c r="L36" i="2"/>
  <c r="AC36" i="2" s="1"/>
  <c r="S35" i="2"/>
  <c r="Y35" i="2" s="1"/>
  <c r="M35" i="2"/>
  <c r="AF35" i="2" s="1"/>
  <c r="L35" i="2"/>
  <c r="AC35" i="2" s="1"/>
  <c r="S34" i="2"/>
  <c r="Y34" i="2" s="1"/>
  <c r="M34" i="2"/>
  <c r="AF34" i="2" s="1"/>
  <c r="L34" i="2"/>
  <c r="AC34" i="2" s="1"/>
  <c r="W19" i="2"/>
  <c r="Z19" i="2"/>
  <c r="AH19" i="2"/>
  <c r="AI19" i="2"/>
  <c r="W20" i="2"/>
  <c r="Z20" i="2"/>
  <c r="AH20" i="2"/>
  <c r="AI20" i="2"/>
  <c r="W21" i="2"/>
  <c r="Z21" i="2"/>
  <c r="AH21" i="2"/>
  <c r="AI21" i="2"/>
  <c r="W22" i="2"/>
  <c r="Z22" i="2"/>
  <c r="AH22" i="2"/>
  <c r="AI22" i="2"/>
  <c r="W23" i="2"/>
  <c r="Z23" i="2"/>
  <c r="AH23" i="2"/>
  <c r="AI23" i="2"/>
  <c r="W24" i="2"/>
  <c r="Z24" i="2"/>
  <c r="AH24" i="2"/>
  <c r="AI24" i="2"/>
  <c r="W25" i="2"/>
  <c r="Z25" i="2"/>
  <c r="AH25" i="2"/>
  <c r="AI25" i="2"/>
  <c r="W26" i="2"/>
  <c r="Z26" i="2"/>
  <c r="AH26" i="2"/>
  <c r="AI26" i="2"/>
  <c r="W27" i="2"/>
  <c r="Z27" i="2"/>
  <c r="AH27" i="2"/>
  <c r="AI27" i="2"/>
  <c r="W28" i="2"/>
  <c r="Z28" i="2"/>
  <c r="AH28" i="2"/>
  <c r="AI28" i="2"/>
  <c r="W29" i="2"/>
  <c r="Z29" i="2"/>
  <c r="AH29" i="2"/>
  <c r="AI29" i="2"/>
  <c r="W30" i="2"/>
  <c r="Z30" i="2"/>
  <c r="AH30" i="2"/>
  <c r="AI30" i="2"/>
  <c r="W31" i="2"/>
  <c r="Z31" i="2"/>
  <c r="AH31" i="2"/>
  <c r="AI31" i="2"/>
  <c r="W32" i="2"/>
  <c r="Z32" i="2"/>
  <c r="AH32" i="2"/>
  <c r="AI32" i="2"/>
  <c r="W33" i="2"/>
  <c r="Z33" i="2"/>
  <c r="AH33" i="2"/>
  <c r="AI33" i="2"/>
  <c r="L19" i="2"/>
  <c r="AC19" i="2" s="1"/>
  <c r="M19" i="2"/>
  <c r="AF19" i="2" s="1"/>
  <c r="S19" i="2"/>
  <c r="Y19" i="2" s="1"/>
  <c r="U19" i="2"/>
  <c r="L20" i="2"/>
  <c r="AC20" i="2" s="1"/>
  <c r="M20" i="2"/>
  <c r="AF20" i="2" s="1"/>
  <c r="S20" i="2"/>
  <c r="Y20" i="2" s="1"/>
  <c r="U20" i="2"/>
  <c r="L21" i="2"/>
  <c r="AC21" i="2" s="1"/>
  <c r="M21" i="2"/>
  <c r="AF21" i="2" s="1"/>
  <c r="S21" i="2"/>
  <c r="Y21" i="2" s="1"/>
  <c r="U21" i="2"/>
  <c r="L22" i="2"/>
  <c r="AC22" i="2" s="1"/>
  <c r="M22" i="2"/>
  <c r="AF22" i="2" s="1"/>
  <c r="S22" i="2"/>
  <c r="Y22" i="2" s="1"/>
  <c r="U22" i="2"/>
  <c r="L23" i="2"/>
  <c r="M23" i="2"/>
  <c r="AF23" i="2" s="1"/>
  <c r="S23" i="2"/>
  <c r="Y23" i="2" s="1"/>
  <c r="U23" i="2"/>
  <c r="L24" i="2"/>
  <c r="M24" i="2"/>
  <c r="AF24" i="2" s="1"/>
  <c r="S24" i="2"/>
  <c r="Y24" i="2" s="1"/>
  <c r="U24" i="2"/>
  <c r="L25" i="2"/>
  <c r="AC25" i="2" s="1"/>
  <c r="M25" i="2"/>
  <c r="AF25" i="2" s="1"/>
  <c r="S25" i="2"/>
  <c r="Y25" i="2" s="1"/>
  <c r="U25" i="2"/>
  <c r="L26" i="2"/>
  <c r="AC26" i="2" s="1"/>
  <c r="M26" i="2"/>
  <c r="AF26" i="2" s="1"/>
  <c r="S26" i="2"/>
  <c r="Y26" i="2" s="1"/>
  <c r="U26" i="2"/>
  <c r="L27" i="2"/>
  <c r="AC27" i="2" s="1"/>
  <c r="M27" i="2"/>
  <c r="S27" i="2"/>
  <c r="Y27" i="2" s="1"/>
  <c r="U27" i="2"/>
  <c r="L28" i="2"/>
  <c r="AC28" i="2" s="1"/>
  <c r="M28" i="2"/>
  <c r="AF28" i="2" s="1"/>
  <c r="S28" i="2"/>
  <c r="Y28" i="2" s="1"/>
  <c r="U28" i="2"/>
  <c r="L29" i="2"/>
  <c r="M29" i="2"/>
  <c r="AF29" i="2" s="1"/>
  <c r="S29" i="2"/>
  <c r="Y29" i="2" s="1"/>
  <c r="U29" i="2"/>
  <c r="L30" i="2"/>
  <c r="AC30" i="2" s="1"/>
  <c r="M30" i="2"/>
  <c r="AF30" i="2" s="1"/>
  <c r="S30" i="2"/>
  <c r="Y30" i="2" s="1"/>
  <c r="U30" i="2"/>
  <c r="L31" i="2"/>
  <c r="AC31" i="2" s="1"/>
  <c r="M31" i="2"/>
  <c r="AF31" i="2" s="1"/>
  <c r="S31" i="2"/>
  <c r="Y31" i="2" s="1"/>
  <c r="U31" i="2"/>
  <c r="L32" i="2"/>
  <c r="AC32" i="2" s="1"/>
  <c r="M32" i="2"/>
  <c r="AF32" i="2" s="1"/>
  <c r="S32" i="2"/>
  <c r="Y32" i="2" s="1"/>
  <c r="U32" i="2"/>
  <c r="L33" i="2"/>
  <c r="AC33" i="2" s="1"/>
  <c r="M33" i="2"/>
  <c r="AF33" i="2" s="1"/>
  <c r="S33" i="2"/>
  <c r="Y33" i="2" s="1"/>
  <c r="U33" i="2"/>
  <c r="W3" i="2"/>
  <c r="Z3" i="2"/>
  <c r="AH3" i="2"/>
  <c r="AI3" i="2"/>
  <c r="W4" i="2"/>
  <c r="Z4" i="2"/>
  <c r="AH4" i="2"/>
  <c r="AI4" i="2"/>
  <c r="W5" i="2"/>
  <c r="Z5" i="2"/>
  <c r="AH5" i="2"/>
  <c r="AI5" i="2"/>
  <c r="W6" i="2"/>
  <c r="Z6" i="2"/>
  <c r="AH6" i="2"/>
  <c r="AI6" i="2"/>
  <c r="W7" i="2"/>
  <c r="Z7" i="2"/>
  <c r="AH7" i="2"/>
  <c r="AI7" i="2"/>
  <c r="W8" i="2"/>
  <c r="Z8" i="2"/>
  <c r="AH8" i="2"/>
  <c r="AI8" i="2"/>
  <c r="W9" i="2"/>
  <c r="Z9" i="2"/>
  <c r="AH9" i="2"/>
  <c r="AI9" i="2"/>
  <c r="W10" i="2"/>
  <c r="Z10" i="2"/>
  <c r="AH10" i="2"/>
  <c r="AI10" i="2"/>
  <c r="W11" i="2"/>
  <c r="Z11" i="2"/>
  <c r="AH11" i="2"/>
  <c r="AI11" i="2"/>
  <c r="W12" i="2"/>
  <c r="Z12" i="2"/>
  <c r="AH12" i="2"/>
  <c r="AI12" i="2"/>
  <c r="W13" i="2"/>
  <c r="Z13" i="2"/>
  <c r="AH13" i="2"/>
  <c r="AI13" i="2"/>
  <c r="W14" i="2"/>
  <c r="Z14" i="2"/>
  <c r="AH14" i="2"/>
  <c r="AI14" i="2"/>
  <c r="W15" i="2"/>
  <c r="Z15" i="2"/>
  <c r="AH15" i="2"/>
  <c r="AI15" i="2"/>
  <c r="W16" i="2"/>
  <c r="Z16" i="2"/>
  <c r="AH16" i="2"/>
  <c r="AI16" i="2"/>
  <c r="W17" i="2"/>
  <c r="Z17" i="2"/>
  <c r="AH17" i="2"/>
  <c r="AI17" i="2"/>
  <c r="W18" i="2"/>
  <c r="Z18" i="2"/>
  <c r="AH18" i="2"/>
  <c r="AI18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S3" i="2"/>
  <c r="Y3" i="2" s="1"/>
  <c r="S4" i="2"/>
  <c r="Y4" i="2" s="1"/>
  <c r="S5" i="2"/>
  <c r="Y5" i="2" s="1"/>
  <c r="S6" i="2"/>
  <c r="Y6" i="2" s="1"/>
  <c r="S7" i="2"/>
  <c r="Y7" i="2" s="1"/>
  <c r="S8" i="2"/>
  <c r="Y8" i="2" s="1"/>
  <c r="S9" i="2"/>
  <c r="Y9" i="2" s="1"/>
  <c r="S10" i="2"/>
  <c r="Y10" i="2" s="1"/>
  <c r="S11" i="2"/>
  <c r="Y11" i="2" s="1"/>
  <c r="S12" i="2"/>
  <c r="Y12" i="2" s="1"/>
  <c r="S13" i="2"/>
  <c r="Y13" i="2" s="1"/>
  <c r="S14" i="2"/>
  <c r="Y14" i="2" s="1"/>
  <c r="S15" i="2"/>
  <c r="Y15" i="2" s="1"/>
  <c r="S16" i="2"/>
  <c r="Y16" i="2" s="1"/>
  <c r="S17" i="2"/>
  <c r="Y17" i="2" s="1"/>
  <c r="S18" i="2"/>
  <c r="Y18" i="2" s="1"/>
  <c r="M3" i="2"/>
  <c r="AF3" i="2" s="1"/>
  <c r="M4" i="2"/>
  <c r="AF4" i="2" s="1"/>
  <c r="M5" i="2"/>
  <c r="AF5" i="2" s="1"/>
  <c r="M6" i="2"/>
  <c r="M7" i="2"/>
  <c r="AF7" i="2" s="1"/>
  <c r="M8" i="2"/>
  <c r="AF8" i="2" s="1"/>
  <c r="M9" i="2"/>
  <c r="AF9" i="2" s="1"/>
  <c r="M10" i="2"/>
  <c r="AF10" i="2" s="1"/>
  <c r="M11" i="2"/>
  <c r="AF11" i="2" s="1"/>
  <c r="M12" i="2"/>
  <c r="AF12" i="2" s="1"/>
  <c r="M13" i="2"/>
  <c r="AF13" i="2" s="1"/>
  <c r="M14" i="2"/>
  <c r="AF14" i="2" s="1"/>
  <c r="M15" i="2"/>
  <c r="M16" i="2"/>
  <c r="AF16" i="2" s="1"/>
  <c r="M17" i="2"/>
  <c r="AF17" i="2" s="1"/>
  <c r="M18" i="2"/>
  <c r="AF18" i="2" s="1"/>
  <c r="L3" i="2"/>
  <c r="AC3" i="2" s="1"/>
  <c r="L4" i="2"/>
  <c r="AC4" i="2" s="1"/>
  <c r="L5" i="2"/>
  <c r="AC5" i="2" s="1"/>
  <c r="L6" i="2"/>
  <c r="AC6" i="2" s="1"/>
  <c r="L7" i="2"/>
  <c r="AC7" i="2" s="1"/>
  <c r="L8" i="2"/>
  <c r="AC8" i="2" s="1"/>
  <c r="L9" i="2"/>
  <c r="AC9" i="2" s="1"/>
  <c r="L10" i="2"/>
  <c r="AC10" i="2" s="1"/>
  <c r="L11" i="2"/>
  <c r="AC11" i="2" s="1"/>
  <c r="L12" i="2"/>
  <c r="AC12" i="2" s="1"/>
  <c r="L13" i="2"/>
  <c r="AC13" i="2" s="1"/>
  <c r="L14" i="2"/>
  <c r="AC14" i="2" s="1"/>
  <c r="L15" i="2"/>
  <c r="AC15" i="2" s="1"/>
  <c r="L16" i="2"/>
  <c r="AC16" i="2" s="1"/>
  <c r="L17" i="2"/>
  <c r="AC17" i="2" s="1"/>
  <c r="L18" i="2"/>
  <c r="AC18" i="2" s="1"/>
  <c r="AE119" i="2" l="1"/>
  <c r="AB120" i="2"/>
  <c r="AD120" i="2" s="1"/>
  <c r="AA121" i="2"/>
  <c r="AB111" i="2"/>
  <c r="AD111" i="2" s="1"/>
  <c r="AB122" i="2"/>
  <c r="AD122" i="2" s="1"/>
  <c r="AB119" i="2"/>
  <c r="AD119" i="2" s="1"/>
  <c r="AA120" i="2"/>
  <c r="AA123" i="2"/>
  <c r="AA122" i="2"/>
  <c r="AE123" i="2"/>
  <c r="AA119" i="2"/>
  <c r="AF123" i="2"/>
  <c r="AE122" i="2"/>
  <c r="AG122" i="2" s="1"/>
  <c r="AE121" i="2"/>
  <c r="AG121" i="2" s="1"/>
  <c r="AE120" i="2"/>
  <c r="AG120" i="2" s="1"/>
  <c r="AG119" i="2"/>
  <c r="AB123" i="2"/>
  <c r="AD123" i="2" s="1"/>
  <c r="AD121" i="2"/>
  <c r="AB115" i="2"/>
  <c r="AB109" i="2"/>
  <c r="AD109" i="2" s="1"/>
  <c r="AE112" i="2"/>
  <c r="AG112" i="2" s="1"/>
  <c r="AA109" i="2"/>
  <c r="AE117" i="2"/>
  <c r="AG117" i="2" s="1"/>
  <c r="AE116" i="2"/>
  <c r="AG116" i="2" s="1"/>
  <c r="AE118" i="2"/>
  <c r="AG118" i="2" s="1"/>
  <c r="AE111" i="2"/>
  <c r="AA115" i="2"/>
  <c r="AA118" i="2"/>
  <c r="AB112" i="2"/>
  <c r="AA114" i="2"/>
  <c r="AA113" i="2"/>
  <c r="AA112" i="2"/>
  <c r="AC115" i="2"/>
  <c r="AB116" i="2"/>
  <c r="AD116" i="2" s="1"/>
  <c r="AB117" i="2"/>
  <c r="AD117" i="2" s="1"/>
  <c r="AB118" i="2"/>
  <c r="AD118" i="2" s="1"/>
  <c r="AE113" i="2"/>
  <c r="AG113" i="2" s="1"/>
  <c r="AC112" i="2"/>
  <c r="AB114" i="2"/>
  <c r="AD114" i="2" s="1"/>
  <c r="AB113" i="2"/>
  <c r="AD113" i="2" s="1"/>
  <c r="AA104" i="2"/>
  <c r="AF111" i="2"/>
  <c r="AE109" i="2"/>
  <c r="AG109" i="2" s="1"/>
  <c r="AE107" i="2"/>
  <c r="AG107" i="2" s="1"/>
  <c r="AB96" i="2"/>
  <c r="AD96" i="2" s="1"/>
  <c r="AA117" i="2"/>
  <c r="AA116" i="2"/>
  <c r="AE115" i="2"/>
  <c r="AG115" i="2" s="1"/>
  <c r="AA105" i="2"/>
  <c r="AE114" i="2"/>
  <c r="AG114" i="2" s="1"/>
  <c r="AE105" i="2"/>
  <c r="AG105" i="2" s="1"/>
  <c r="AA111" i="2"/>
  <c r="AB110" i="2"/>
  <c r="AD110" i="2" s="1"/>
  <c r="AE108" i="2"/>
  <c r="AG108" i="2" s="1"/>
  <c r="AB108" i="2"/>
  <c r="AD108" i="2" s="1"/>
  <c r="AB104" i="2"/>
  <c r="AD104" i="2" s="1"/>
  <c r="AA107" i="2"/>
  <c r="AE110" i="2"/>
  <c r="AG110" i="2" s="1"/>
  <c r="AA108" i="2"/>
  <c r="AA106" i="2"/>
  <c r="AE106" i="2"/>
  <c r="AB101" i="2"/>
  <c r="AD101" i="2" s="1"/>
  <c r="AE104" i="2"/>
  <c r="AG104" i="2" s="1"/>
  <c r="AA110" i="2"/>
  <c r="AB107" i="2"/>
  <c r="AD107" i="2" s="1"/>
  <c r="AF106" i="2"/>
  <c r="AB103" i="2"/>
  <c r="AD103" i="2" s="1"/>
  <c r="AB102" i="2"/>
  <c r="AD102" i="2" s="1"/>
  <c r="AB105" i="2"/>
  <c r="AD105" i="2" s="1"/>
  <c r="AB100" i="2"/>
  <c r="AD100" i="2" s="1"/>
  <c r="AB106" i="2"/>
  <c r="AD106" i="2" s="1"/>
  <c r="AA102" i="2"/>
  <c r="AE103" i="2"/>
  <c r="AG103" i="2" s="1"/>
  <c r="AA98" i="2"/>
  <c r="AA97" i="2"/>
  <c r="AA101" i="2"/>
  <c r="AA96" i="2"/>
  <c r="AE102" i="2"/>
  <c r="AG102" i="2" s="1"/>
  <c r="AB99" i="2"/>
  <c r="AD99" i="2" s="1"/>
  <c r="AE101" i="2"/>
  <c r="AG101" i="2" s="1"/>
  <c r="AB98" i="2"/>
  <c r="AD98" i="2" s="1"/>
  <c r="AE100" i="2"/>
  <c r="AG100" i="2" s="1"/>
  <c r="AE99" i="2"/>
  <c r="AG99" i="2" s="1"/>
  <c r="AE97" i="2"/>
  <c r="AG97" i="2" s="1"/>
  <c r="AB97" i="2"/>
  <c r="AD97" i="2" s="1"/>
  <c r="AE96" i="2"/>
  <c r="AG96" i="2" s="1"/>
  <c r="AE95" i="2"/>
  <c r="AG95" i="2" s="1"/>
  <c r="AA100" i="2"/>
  <c r="AA99" i="2"/>
  <c r="AE98" i="2"/>
  <c r="AG98" i="2" s="1"/>
  <c r="AA64" i="2"/>
  <c r="AA103" i="2"/>
  <c r="AB95" i="2"/>
  <c r="AD95" i="2" s="1"/>
  <c r="AA95" i="2"/>
  <c r="AE88" i="2"/>
  <c r="AG88" i="2" s="1"/>
  <c r="AA94" i="2"/>
  <c r="AA89" i="2"/>
  <c r="AE89" i="2"/>
  <c r="AG89" i="2" s="1"/>
  <c r="AA90" i="2"/>
  <c r="AB48" i="2"/>
  <c r="AD48" i="2" s="1"/>
  <c r="AA85" i="2"/>
  <c r="AA44" i="2"/>
  <c r="AE90" i="2"/>
  <c r="AG90" i="2" s="1"/>
  <c r="AA93" i="2"/>
  <c r="AA33" i="2"/>
  <c r="AA25" i="2"/>
  <c r="AA21" i="2"/>
  <c r="AB37" i="2"/>
  <c r="AD37" i="2" s="1"/>
  <c r="AA38" i="2"/>
  <c r="AB94" i="2"/>
  <c r="AD94" i="2" s="1"/>
  <c r="AB69" i="2"/>
  <c r="AD69" i="2" s="1"/>
  <c r="AA91" i="2"/>
  <c r="AA82" i="2"/>
  <c r="AB86" i="2"/>
  <c r="AD86" i="2" s="1"/>
  <c r="AE82" i="2"/>
  <c r="AG82" i="2" s="1"/>
  <c r="AB93" i="2"/>
  <c r="AD93" i="2" s="1"/>
  <c r="AA50" i="2"/>
  <c r="AE42" i="2"/>
  <c r="AG42" i="2" s="1"/>
  <c r="AA53" i="2"/>
  <c r="AE86" i="2"/>
  <c r="AG86" i="2" s="1"/>
  <c r="AA36" i="2"/>
  <c r="AA37" i="2"/>
  <c r="AA66" i="2"/>
  <c r="AB87" i="2"/>
  <c r="AD87" i="2" s="1"/>
  <c r="AE92" i="2"/>
  <c r="AG92" i="2" s="1"/>
  <c r="AE52" i="2"/>
  <c r="AG52" i="2" s="1"/>
  <c r="AA78" i="2"/>
  <c r="AE87" i="2"/>
  <c r="AG87" i="2" s="1"/>
  <c r="AB89" i="2"/>
  <c r="AD89" i="2" s="1"/>
  <c r="AE94" i="2"/>
  <c r="AG94" i="2" s="1"/>
  <c r="AB68" i="2"/>
  <c r="AD68" i="2" s="1"/>
  <c r="AA45" i="2"/>
  <c r="AA40" i="2"/>
  <c r="AB90" i="2"/>
  <c r="AD90" i="2" s="1"/>
  <c r="AB70" i="2"/>
  <c r="AA70" i="2"/>
  <c r="AB91" i="2"/>
  <c r="AD91" i="2" s="1"/>
  <c r="AE64" i="2"/>
  <c r="AG64" i="2" s="1"/>
  <c r="AE91" i="2"/>
  <c r="AG91" i="2" s="1"/>
  <c r="AE70" i="2"/>
  <c r="AG70" i="2" s="1"/>
  <c r="AA86" i="2"/>
  <c r="AA88" i="2"/>
  <c r="AE93" i="2"/>
  <c r="AG93" i="2" s="1"/>
  <c r="AA31" i="2"/>
  <c r="AB43" i="2"/>
  <c r="AD43" i="2" s="1"/>
  <c r="AA55" i="2"/>
  <c r="AB88" i="2"/>
  <c r="AD88" i="2" s="1"/>
  <c r="AA35" i="2"/>
  <c r="AB45" i="2"/>
  <c r="AD45" i="2" s="1"/>
  <c r="AA77" i="2"/>
  <c r="AB82" i="2"/>
  <c r="AD82" i="2" s="1"/>
  <c r="AA92" i="2"/>
  <c r="AB77" i="2"/>
  <c r="AD77" i="2" s="1"/>
  <c r="AB92" i="2"/>
  <c r="AD92" i="2" s="1"/>
  <c r="AA27" i="2"/>
  <c r="AA52" i="2"/>
  <c r="AE77" i="2"/>
  <c r="AG77" i="2" s="1"/>
  <c r="AB57" i="2"/>
  <c r="AD57" i="2" s="1"/>
  <c r="AA16" i="2"/>
  <c r="AE45" i="2"/>
  <c r="AG45" i="2" s="1"/>
  <c r="AA87" i="2"/>
  <c r="AA63" i="2"/>
  <c r="AA84" i="2"/>
  <c r="AB28" i="2"/>
  <c r="AD28" i="2" s="1"/>
  <c r="AE51" i="2"/>
  <c r="AG51" i="2" s="1"/>
  <c r="AA79" i="2"/>
  <c r="AB32" i="2"/>
  <c r="AD32" i="2" s="1"/>
  <c r="AA24" i="2"/>
  <c r="AB79" i="2"/>
  <c r="AD79" i="2" s="1"/>
  <c r="AA58" i="2"/>
  <c r="AB50" i="2"/>
  <c r="AD50" i="2" s="1"/>
  <c r="AB54" i="2"/>
  <c r="AD54" i="2" s="1"/>
  <c r="AB58" i="2"/>
  <c r="AD58" i="2" s="1"/>
  <c r="AB63" i="2"/>
  <c r="AD63" i="2" s="1"/>
  <c r="AA74" i="2"/>
  <c r="AE10" i="2"/>
  <c r="AG10" i="2" s="1"/>
  <c r="AA41" i="2"/>
  <c r="AE58" i="2"/>
  <c r="AG58" i="2" s="1"/>
  <c r="AE63" i="2"/>
  <c r="AG63" i="2" s="1"/>
  <c r="AA69" i="2"/>
  <c r="AB74" i="2"/>
  <c r="AD74" i="2" s="1"/>
  <c r="AB83" i="2"/>
  <c r="AD83" i="2" s="1"/>
  <c r="AA32" i="2"/>
  <c r="AB64" i="2"/>
  <c r="AD64" i="2" s="1"/>
  <c r="AB34" i="2"/>
  <c r="AD34" i="2" s="1"/>
  <c r="AA71" i="2"/>
  <c r="AB84" i="2"/>
  <c r="AD84" i="2" s="1"/>
  <c r="AE84" i="2"/>
  <c r="AG84" i="2" s="1"/>
  <c r="AA59" i="2"/>
  <c r="AA43" i="2"/>
  <c r="AA48" i="2"/>
  <c r="AB85" i="2"/>
  <c r="AD85" i="2" s="1"/>
  <c r="AE50" i="2"/>
  <c r="AG50" i="2" s="1"/>
  <c r="AE53" i="2"/>
  <c r="AG53" i="2" s="1"/>
  <c r="AE55" i="2"/>
  <c r="AG55" i="2" s="1"/>
  <c r="AE59" i="2"/>
  <c r="AG59" i="2" s="1"/>
  <c r="AB75" i="2"/>
  <c r="AD75" i="2" s="1"/>
  <c r="AE80" i="2"/>
  <c r="AG80" i="2" s="1"/>
  <c r="AB30" i="2"/>
  <c r="AD30" i="2" s="1"/>
  <c r="AE66" i="2"/>
  <c r="AG66" i="2" s="1"/>
  <c r="AA81" i="2"/>
  <c r="AB22" i="2"/>
  <c r="AD22" i="2" s="1"/>
  <c r="AB26" i="2"/>
  <c r="AD26" i="2" s="1"/>
  <c r="AE57" i="2"/>
  <c r="AG57" i="2" s="1"/>
  <c r="AA34" i="2"/>
  <c r="AB42" i="2"/>
  <c r="AD42" i="2" s="1"/>
  <c r="AB53" i="2"/>
  <c r="AD53" i="2" s="1"/>
  <c r="AB61" i="2"/>
  <c r="AD61" i="2" s="1"/>
  <c r="AE54" i="2"/>
  <c r="AG54" i="2" s="1"/>
  <c r="AA62" i="2"/>
  <c r="AE72" i="2"/>
  <c r="AG72" i="2" s="1"/>
  <c r="AA29" i="2"/>
  <c r="AE69" i="2"/>
  <c r="AG69" i="2" s="1"/>
  <c r="AA51" i="2"/>
  <c r="AE49" i="2"/>
  <c r="AG49" i="2" s="1"/>
  <c r="AE83" i="2"/>
  <c r="AG83" i="2" s="1"/>
  <c r="AA28" i="2"/>
  <c r="AB47" i="2"/>
  <c r="AD47" i="2" s="1"/>
  <c r="AB51" i="2"/>
  <c r="AD51" i="2" s="1"/>
  <c r="AB55" i="2"/>
  <c r="AD55" i="2" s="1"/>
  <c r="AB59" i="2"/>
  <c r="AD59" i="2" s="1"/>
  <c r="AA49" i="2"/>
  <c r="AE78" i="2"/>
  <c r="AG78" i="2" s="1"/>
  <c r="AE40" i="2"/>
  <c r="AG40" i="2" s="1"/>
  <c r="AB72" i="2"/>
  <c r="AD72" i="2" s="1"/>
  <c r="AE17" i="2"/>
  <c r="AG17" i="2" s="1"/>
  <c r="AE5" i="2"/>
  <c r="AG5" i="2" s="1"/>
  <c r="AB24" i="2"/>
  <c r="AA47" i="2"/>
  <c r="AE37" i="2"/>
  <c r="AG37" i="2" s="1"/>
  <c r="AB71" i="2"/>
  <c r="AD71" i="2" s="1"/>
  <c r="AB29" i="2"/>
  <c r="AE46" i="2"/>
  <c r="AG46" i="2" s="1"/>
  <c r="AA56" i="2"/>
  <c r="AA60" i="2"/>
  <c r="AB66" i="2"/>
  <c r="AD66" i="2" s="1"/>
  <c r="AE71" i="2"/>
  <c r="AG71" i="2" s="1"/>
  <c r="AB35" i="2"/>
  <c r="AD35" i="2" s="1"/>
  <c r="AB40" i="2"/>
  <c r="AD40" i="2" s="1"/>
  <c r="AB52" i="2"/>
  <c r="AD52" i="2" s="1"/>
  <c r="AB56" i="2"/>
  <c r="AD56" i="2" s="1"/>
  <c r="AB60" i="2"/>
  <c r="AD60" i="2" s="1"/>
  <c r="AE61" i="2"/>
  <c r="AG61" i="2" s="1"/>
  <c r="AA80" i="2"/>
  <c r="AE27" i="2"/>
  <c r="AB36" i="2"/>
  <c r="AD36" i="2" s="1"/>
  <c r="AA46" i="2"/>
  <c r="AE74" i="2"/>
  <c r="AG74" i="2" s="1"/>
  <c r="AB80" i="2"/>
  <c r="AD80" i="2" s="1"/>
  <c r="AE85" i="2"/>
  <c r="AG85" i="2" s="1"/>
  <c r="AB46" i="2"/>
  <c r="AD46" i="2" s="1"/>
  <c r="AB38" i="2"/>
  <c r="AD38" i="2" s="1"/>
  <c r="AE38" i="2"/>
  <c r="AG38" i="2" s="1"/>
  <c r="AE44" i="2"/>
  <c r="AG44" i="2" s="1"/>
  <c r="AA57" i="2"/>
  <c r="AB62" i="2"/>
  <c r="AD62" i="2" s="1"/>
  <c r="AE67" i="2"/>
  <c r="AG67" i="2" s="1"/>
  <c r="AC70" i="2"/>
  <c r="AE75" i="2"/>
  <c r="AG75" i="2" s="1"/>
  <c r="AE18" i="2"/>
  <c r="AG18" i="2" s="1"/>
  <c r="AB39" i="2"/>
  <c r="AD39" i="2" s="1"/>
  <c r="AE41" i="2"/>
  <c r="AG41" i="2" s="1"/>
  <c r="AE62" i="2"/>
  <c r="AG62" i="2" s="1"/>
  <c r="AA68" i="2"/>
  <c r="AB73" i="2"/>
  <c r="AD73" i="2" s="1"/>
  <c r="AA76" i="2"/>
  <c r="AB81" i="2"/>
  <c r="AD81" i="2" s="1"/>
  <c r="AE35" i="2"/>
  <c r="AG35" i="2" s="1"/>
  <c r="AE73" i="2"/>
  <c r="AG73" i="2" s="1"/>
  <c r="AB76" i="2"/>
  <c r="AD76" i="2" s="1"/>
  <c r="AE81" i="2"/>
  <c r="AG81" i="2" s="1"/>
  <c r="AB67" i="2"/>
  <c r="AD67" i="2" s="1"/>
  <c r="AA39" i="2"/>
  <c r="AB41" i="2"/>
  <c r="AD41" i="2" s="1"/>
  <c r="AE76" i="2"/>
  <c r="AG76" i="2" s="1"/>
  <c r="AA14" i="2"/>
  <c r="AE68" i="2"/>
  <c r="AG68" i="2" s="1"/>
  <c r="AA75" i="2"/>
  <c r="AB13" i="2"/>
  <c r="AD13" i="2" s="1"/>
  <c r="AB20" i="2"/>
  <c r="AD20" i="2" s="1"/>
  <c r="AA61" i="2"/>
  <c r="AA72" i="2"/>
  <c r="AA54" i="2"/>
  <c r="AE56" i="2"/>
  <c r="AG56" i="2" s="1"/>
  <c r="AA65" i="2"/>
  <c r="AB44" i="2"/>
  <c r="AD44" i="2" s="1"/>
  <c r="AA67" i="2"/>
  <c r="AB65" i="2"/>
  <c r="AD65" i="2" s="1"/>
  <c r="AE79" i="2"/>
  <c r="AG79" i="2" s="1"/>
  <c r="AA83" i="2"/>
  <c r="AA42" i="2"/>
  <c r="AB49" i="2"/>
  <c r="AD49" i="2" s="1"/>
  <c r="AE60" i="2"/>
  <c r="AG60" i="2" s="1"/>
  <c r="AE65" i="2"/>
  <c r="AG65" i="2" s="1"/>
  <c r="AA19" i="2"/>
  <c r="AE39" i="2"/>
  <c r="AG39" i="2" s="1"/>
  <c r="AE6" i="2"/>
  <c r="AB23" i="2"/>
  <c r="AE43" i="2"/>
  <c r="AG43" i="2" s="1"/>
  <c r="AA73" i="2"/>
  <c r="AB78" i="2"/>
  <c r="AD78" i="2" s="1"/>
  <c r="AA5" i="2"/>
  <c r="AA4" i="2"/>
  <c r="AA22" i="2"/>
  <c r="AF27" i="2"/>
  <c r="AE47" i="2"/>
  <c r="AG47" i="2" s="1"/>
  <c r="AE7" i="2"/>
  <c r="AG7" i="2" s="1"/>
  <c r="AE48" i="2"/>
  <c r="AG48" i="2" s="1"/>
  <c r="AE3" i="2"/>
  <c r="AG3" i="2" s="1"/>
  <c r="AE34" i="2"/>
  <c r="AG34" i="2" s="1"/>
  <c r="AA18" i="2"/>
  <c r="AE36" i="2"/>
  <c r="AG36" i="2" s="1"/>
  <c r="AC29" i="2"/>
  <c r="AB19" i="2"/>
  <c r="AD19" i="2" s="1"/>
  <c r="AB31" i="2"/>
  <c r="AD31" i="2" s="1"/>
  <c r="AB27" i="2"/>
  <c r="AD27" i="2" s="1"/>
  <c r="AE23" i="2"/>
  <c r="AG23" i="2" s="1"/>
  <c r="AE29" i="2"/>
  <c r="AG29" i="2" s="1"/>
  <c r="AE20" i="2"/>
  <c r="AG20" i="2" s="1"/>
  <c r="AE26" i="2"/>
  <c r="AG26" i="2" s="1"/>
  <c r="AB18" i="2"/>
  <c r="AD18" i="2" s="1"/>
  <c r="AE22" i="2"/>
  <c r="AG22" i="2" s="1"/>
  <c r="AB33" i="2"/>
  <c r="AD33" i="2" s="1"/>
  <c r="AB25" i="2"/>
  <c r="AD25" i="2" s="1"/>
  <c r="AB21" i="2"/>
  <c r="AD21" i="2" s="1"/>
  <c r="AE25" i="2"/>
  <c r="AG25" i="2" s="1"/>
  <c r="AE21" i="2"/>
  <c r="AG21" i="2" s="1"/>
  <c r="AE31" i="2"/>
  <c r="AG31" i="2" s="1"/>
  <c r="AE33" i="2"/>
  <c r="AG33" i="2" s="1"/>
  <c r="AE30" i="2"/>
  <c r="AG30" i="2" s="1"/>
  <c r="AC23" i="2"/>
  <c r="AA20" i="2"/>
  <c r="AA26" i="2"/>
  <c r="AC24" i="2"/>
  <c r="AE32" i="2"/>
  <c r="AG32" i="2" s="1"/>
  <c r="AB6" i="2"/>
  <c r="AD6" i="2" s="1"/>
  <c r="AB8" i="2"/>
  <c r="AD8" i="2" s="1"/>
  <c r="AF6" i="2"/>
  <c r="AE9" i="2"/>
  <c r="AG9" i="2" s="1"/>
  <c r="AB3" i="2"/>
  <c r="AD3" i="2" s="1"/>
  <c r="AA17" i="2"/>
  <c r="AA23" i="2"/>
  <c r="AA30" i="2"/>
  <c r="AE24" i="2"/>
  <c r="AG24" i="2" s="1"/>
  <c r="AA3" i="2"/>
  <c r="AB5" i="2"/>
  <c r="AD5" i="2" s="1"/>
  <c r="AE15" i="2"/>
  <c r="AA15" i="2"/>
  <c r="AE19" i="2"/>
  <c r="AG19" i="2" s="1"/>
  <c r="AB14" i="2"/>
  <c r="AD14" i="2" s="1"/>
  <c r="AA11" i="2"/>
  <c r="AB11" i="2"/>
  <c r="AD11" i="2" s="1"/>
  <c r="AA13" i="2"/>
  <c r="AA10" i="2"/>
  <c r="AE28" i="2"/>
  <c r="AG28" i="2" s="1"/>
  <c r="AB16" i="2"/>
  <c r="AD16" i="2" s="1"/>
  <c r="AB15" i="2"/>
  <c r="AD15" i="2" s="1"/>
  <c r="AB12" i="2"/>
  <c r="AD12" i="2" s="1"/>
  <c r="AB10" i="2"/>
  <c r="AD10" i="2" s="1"/>
  <c r="AA9" i="2"/>
  <c r="AB9" i="2"/>
  <c r="AD9" i="2" s="1"/>
  <c r="AA12" i="2"/>
  <c r="AB7" i="2"/>
  <c r="AD7" i="2" s="1"/>
  <c r="AE14" i="2"/>
  <c r="AG14" i="2" s="1"/>
  <c r="AE11" i="2"/>
  <c r="AG11" i="2" s="1"/>
  <c r="AB4" i="2"/>
  <c r="AD4" i="2" s="1"/>
  <c r="AE8" i="2"/>
  <c r="AG8" i="2" s="1"/>
  <c r="AE13" i="2"/>
  <c r="AG13" i="2" s="1"/>
  <c r="AB17" i="2"/>
  <c r="AD17" i="2" s="1"/>
  <c r="AA8" i="2"/>
  <c r="AE12" i="2"/>
  <c r="AG12" i="2" s="1"/>
  <c r="AA6" i="2"/>
  <c r="AF15" i="2"/>
  <c r="AE16" i="2"/>
  <c r="AG16" i="2" s="1"/>
  <c r="AA7" i="2"/>
  <c r="AE4" i="2"/>
  <c r="AG4" i="2" s="1"/>
  <c r="AG123" i="2" l="1"/>
  <c r="AD115" i="2"/>
  <c r="AG111" i="2"/>
  <c r="AD112" i="2"/>
  <c r="AG106" i="2"/>
  <c r="AD70" i="2"/>
  <c r="AG27" i="2"/>
  <c r="AG15" i="2"/>
  <c r="AD29" i="2"/>
  <c r="AD24" i="2"/>
  <c r="AG6" i="2"/>
  <c r="AD23" i="2"/>
  <c r="K3" i="1" l="1"/>
  <c r="C27" i="1"/>
  <c r="AH2" i="2"/>
  <c r="U2" i="2" l="1"/>
  <c r="M2" i="2"/>
  <c r="L2" i="2" l="1"/>
  <c r="E6" i="1" l="1"/>
  <c r="AC2" i="2" l="1"/>
  <c r="S2" i="2"/>
  <c r="W2" i="2" s="1"/>
  <c r="AB2" i="2"/>
  <c r="K2" i="1"/>
  <c r="F6" i="1"/>
  <c r="G6" i="1"/>
  <c r="H6" i="1"/>
  <c r="I6" i="1"/>
  <c r="J6" i="1"/>
  <c r="K6" i="1" l="1"/>
  <c r="K7" i="1"/>
  <c r="AE2" i="2"/>
  <c r="AF2" i="2"/>
  <c r="AI2" i="2"/>
  <c r="AD2" i="2"/>
  <c r="AG2" i="2" l="1"/>
  <c r="Z2" i="2"/>
  <c r="Y2" i="2"/>
  <c r="AA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I1" authorId="0" shapeId="0" xr:uid="{45704D92-FE80-42D7-9D0F-A7B1FFAD8EC9}">
      <text>
        <r>
          <rPr>
            <sz val="9"/>
            <color indexed="81"/>
            <rFont val="Tahoma"/>
            <family val="2"/>
          </rPr>
          <t>* Stress amplitude at 2E6 cycles at R=-1</t>
        </r>
      </text>
    </comment>
    <comment ref="J1" authorId="0" shapeId="0" xr:uid="{D4E9C955-5769-4B56-A84F-DD85E574B1C6}">
      <text>
        <r>
          <rPr>
            <sz val="9"/>
            <color indexed="81"/>
            <rFont val="Tahoma"/>
            <family val="2"/>
          </rPr>
          <t>* Shear stress amplitude at 2E6 cycles at R=-1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L1" authorId="0" shapeId="0" xr:uid="{1CC4F29A-57B3-44F7-965B-DA237098AC81}">
      <text>
        <r>
          <rPr>
            <b/>
            <sz val="9"/>
            <color indexed="81"/>
            <rFont val="Tahoma"/>
            <family val="2"/>
          </rPr>
          <t>Net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Tahoma"/>
            <family val="2"/>
          </rPr>
          <t>gross</t>
        </r>
        <r>
          <rPr>
            <sz val="9"/>
            <color indexed="81"/>
            <rFont val="Tahoma"/>
            <family val="2"/>
          </rPr>
          <t xml:space="preserve"> area depending on what the author used to evaluate the nominal stresses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<sst xmlns="http://schemas.openxmlformats.org/spreadsheetml/2006/main" count="1643" uniqueCount="193">
  <si>
    <t>Article DOI</t>
  </si>
  <si>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</si>
  <si>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</si>
  <si>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</si>
  <si>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</si>
  <si>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</si>
  <si>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</si>
  <si>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</si>
  <si>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</si>
  <si>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</si>
  <si>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AXIAL stress  (MPa)</t>
  </si>
  <si>
    <t>Amplitute AXIAL stress  (MPa)</t>
  </si>
  <si>
    <t>Mean SHEAR stress  (MPa)</t>
  </si>
  <si>
    <t>Amplitute SHEAR stress  (MPa)</t>
  </si>
  <si>
    <t>Mean internal pressure  (MPa)</t>
  </si>
  <si>
    <t>Amplitute internal pressure  (MPa)</t>
  </si>
  <si>
    <t>Maximum internal pressure  (MPa)</t>
  </si>
  <si>
    <t>Mean AXIAL force (N)</t>
  </si>
  <si>
    <t>Amplitude AXIAL force (N)</t>
  </si>
  <si>
    <t>Maximum AXIAL force (N)</t>
  </si>
  <si>
    <t>Maximum TORQUE (Nmm)</t>
  </si>
  <si>
    <t>Amplitude TORQUE (Nmm)</t>
  </si>
  <si>
    <t>Mean TORQUE (Nmm)</t>
  </si>
  <si>
    <t>Lambda (tauA/sigmaA)</t>
  </si>
  <si>
    <t>Phase radial load (°)</t>
  </si>
  <si>
    <t>Phase torsional load (°)</t>
  </si>
  <si>
    <t>Load ratio (RADIAL)</t>
  </si>
  <si>
    <t>Load ratio (AXIAL)</t>
  </si>
  <si>
    <t>Load ratio (TORSIONAL)</t>
  </si>
  <si>
    <t>Geometry picture</t>
  </si>
  <si>
    <t>Diameter (mm)</t>
  </si>
  <si>
    <t>Polar momento of inertia (mm^4)</t>
  </si>
  <si>
    <t>Failure type (complete rupture/stiffness decrease)</t>
  </si>
  <si>
    <t>Specimen name</t>
  </si>
  <si>
    <t>No</t>
  </si>
  <si>
    <t>Null</t>
  </si>
  <si>
    <t>Young's modulus (MPa)</t>
  </si>
  <si>
    <t>Tensile fatigue limit* (MPa)</t>
  </si>
  <si>
    <t>Standard deviation</t>
  </si>
  <si>
    <t>Average</t>
  </si>
  <si>
    <t>Torsional fatigue limit* (MPa)</t>
  </si>
  <si>
    <t>Article year</t>
  </si>
  <si>
    <t>Authors</t>
  </si>
  <si>
    <t>complete rupture</t>
  </si>
  <si>
    <t>Geometry type (flat/cylindrical)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</si>
  <si>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</si>
  <si>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</si>
  <si>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</si>
  <si>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</si>
  <si>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</si>
  <si>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Benedetti et al.</t>
  </si>
  <si>
    <t>Plain_axial_1</t>
  </si>
  <si>
    <t>Plain_axial_2</t>
  </si>
  <si>
    <t>Plain_axial_3</t>
  </si>
  <si>
    <t>Plain_axial_4</t>
  </si>
  <si>
    <t>Plain_axial_5</t>
  </si>
  <si>
    <t>Plain_axial_6</t>
  </si>
  <si>
    <t>Plain_axial_7</t>
  </si>
  <si>
    <t>Plain_axial_8</t>
  </si>
  <si>
    <t>Plain_axial_9</t>
  </si>
  <si>
    <t>Plain_axial_10</t>
  </si>
  <si>
    <t>Plain_axial_11</t>
  </si>
  <si>
    <t>Plain_axial_12</t>
  </si>
  <si>
    <t>Plain_axial_13</t>
  </si>
  <si>
    <t>Yes</t>
  </si>
  <si>
    <t>Plain_axial_14</t>
  </si>
  <si>
    <t>Plain_axial_15</t>
  </si>
  <si>
    <t>Plain_axial_16</t>
  </si>
  <si>
    <t>Plain_axial_17</t>
  </si>
  <si>
    <t>Plain_axial_18</t>
  </si>
  <si>
    <t>Plain_axial_19</t>
  </si>
  <si>
    <t>Plain_axial_20</t>
  </si>
  <si>
    <t>Plain_axial_21</t>
  </si>
  <si>
    <t>Plain_axial_22</t>
  </si>
  <si>
    <t>Plain_axial_23</t>
  </si>
  <si>
    <t>Plain_axial_24</t>
  </si>
  <si>
    <t>Plain_axial_25</t>
  </si>
  <si>
    <t>Plain_axial_26</t>
  </si>
  <si>
    <t>Plain_axial_27</t>
  </si>
  <si>
    <t>Plain_axial_28</t>
  </si>
  <si>
    <t>Sharp_axial_1</t>
  </si>
  <si>
    <t>Sharp_axial_2</t>
  </si>
  <si>
    <t>Sharp_axial_3</t>
  </si>
  <si>
    <t>Sharp_axial_4</t>
  </si>
  <si>
    <t>Sharp_axial_5</t>
  </si>
  <si>
    <t>Sharp_axial_6</t>
  </si>
  <si>
    <t>Sharp_axial_7</t>
  </si>
  <si>
    <t>Area (mm^2)</t>
  </si>
  <si>
    <t>Amplitude von Mises (MPa)</t>
  </si>
  <si>
    <t>Data count</t>
  </si>
  <si>
    <t>Santus et al.</t>
  </si>
  <si>
    <t>42CrMo4 QT</t>
  </si>
  <si>
    <t>10.1016/j.ijfatigue.2022.106787</t>
  </si>
  <si>
    <t>10.1016/j.ijfatigue.2018.03.037</t>
  </si>
  <si>
    <t>Plain_axial_29</t>
  </si>
  <si>
    <t>Plain_axial_30</t>
  </si>
  <si>
    <t>Plain_axial_31</t>
  </si>
  <si>
    <t>Plain_axial_32</t>
  </si>
  <si>
    <t>Sharp_axial_8</t>
  </si>
  <si>
    <t>Sharp_axial_9</t>
  </si>
  <si>
    <t>Sharp_axial_10</t>
  </si>
  <si>
    <t>Sharp_axial_11</t>
  </si>
  <si>
    <t>Sharp_axial_12</t>
  </si>
  <si>
    <t>Sharp_axial_13</t>
  </si>
  <si>
    <t>Sharp_axial_14</t>
  </si>
  <si>
    <t>Sharp_axial_15</t>
  </si>
  <si>
    <t>Sharp_axial_16</t>
  </si>
  <si>
    <t>Sharp_axial_17</t>
  </si>
  <si>
    <t>Sharp_axial_18</t>
  </si>
  <si>
    <t>Sharp_axial_19</t>
  </si>
  <si>
    <t>Sharp_axial_20</t>
  </si>
  <si>
    <t>Sharp_axial_21</t>
  </si>
  <si>
    <t>Sharp_axial_22</t>
  </si>
  <si>
    <t>Sharp_axial_23</t>
  </si>
  <si>
    <t>Sharp_axial_24</t>
  </si>
  <si>
    <t>Sharp_axial_25</t>
  </si>
  <si>
    <t>Sharp_axial_26</t>
  </si>
  <si>
    <t>Sharp_axial_27</t>
  </si>
  <si>
    <t>Sharp_axial_28</t>
  </si>
  <si>
    <t>Plain_torsion_1</t>
  </si>
  <si>
    <t>stiffness decrease</t>
  </si>
  <si>
    <t>Plain_torsion_2</t>
  </si>
  <si>
    <t>Plain_torsion_3</t>
  </si>
  <si>
    <t>Plain_torsion_4</t>
  </si>
  <si>
    <t>Plain_torsion_5</t>
  </si>
  <si>
    <t>Plain_torsion_6</t>
  </si>
  <si>
    <t>Plain_torsion_7</t>
  </si>
  <si>
    <t>Plain_torsion_8</t>
  </si>
  <si>
    <t>Plain_torsion_9</t>
  </si>
  <si>
    <t>Plain_torsion_10</t>
  </si>
  <si>
    <t>Plain_torsion_11</t>
  </si>
  <si>
    <t>Plain_torsion_12</t>
  </si>
  <si>
    <t>Plain_torsion_13</t>
  </si>
  <si>
    <t>Plain_torsion_14</t>
  </si>
  <si>
    <t>Plain_torsion_15</t>
  </si>
  <si>
    <t>Plain_torsion_16</t>
  </si>
  <si>
    <t>Plain_torsion_17</t>
  </si>
  <si>
    <t>Plain_torsion_18</t>
  </si>
  <si>
    <t>Plain_torsion_19</t>
  </si>
  <si>
    <t>Plain_torsion_20</t>
  </si>
  <si>
    <t>Plain_torsion_21</t>
  </si>
  <si>
    <t>Plain_torsion_22</t>
  </si>
  <si>
    <t>Plain_torsion_23</t>
  </si>
  <si>
    <t>Plain_torsion_24</t>
  </si>
  <si>
    <t>Sharp_torsion_1</t>
  </si>
  <si>
    <t>Sharp_torsion_2</t>
  </si>
  <si>
    <t>Sharp_torsion_3</t>
  </si>
  <si>
    <t>Sharp_torsion_4</t>
  </si>
  <si>
    <t>Sharp_torsion_5</t>
  </si>
  <si>
    <t>Sharp_torsion_6</t>
  </si>
  <si>
    <t>Sharp_torsion_7</t>
  </si>
  <si>
    <t>Sharp_torsion_8</t>
  </si>
  <si>
    <t>Sharp_torsion_9</t>
  </si>
  <si>
    <t>k FS (-)</t>
  </si>
  <si>
    <t>k FI (-)</t>
  </si>
  <si>
    <t>10.1111/ffe.12192</t>
  </si>
  <si>
    <t>Anes et al.</t>
  </si>
  <si>
    <t>42CrMo4</t>
  </si>
  <si>
    <t>Plain_multiaxial_1</t>
  </si>
  <si>
    <t>Plain_multiaxial_2</t>
  </si>
  <si>
    <t>Plain_multiaxial_3</t>
  </si>
  <si>
    <t>Plain_multiaxial_4</t>
  </si>
  <si>
    <t>Plain_multiaxial_5</t>
  </si>
  <si>
    <t>Plain_multiaxial_6</t>
  </si>
  <si>
    <t>Plain_multiaxial_7</t>
  </si>
  <si>
    <t>Plain_multiaxial_8</t>
  </si>
  <si>
    <t>Plain_multiaxial_9</t>
  </si>
  <si>
    <t>Plain_multiaxial_10</t>
  </si>
  <si>
    <t>Plain_multiaxial_11</t>
  </si>
  <si>
    <t>Plain_multiaxial_12</t>
  </si>
  <si>
    <t>Plain_multiaxial_13</t>
  </si>
  <si>
    <t>Plain_multiaxial_14</t>
  </si>
  <si>
    <t>Plain_multiaxial_15</t>
  </si>
  <si>
    <t>Plain_multiaxial_16</t>
  </si>
  <si>
    <t>10.1016/j.ijfatigue.2013.03.014</t>
  </si>
  <si>
    <t>Plain_multiaxial_17</t>
  </si>
  <si>
    <t>Plain_multiaxial_18</t>
  </si>
  <si>
    <t>Plain_multiaxial_19</t>
  </si>
  <si>
    <t>Plain_multiaxial_20</t>
  </si>
  <si>
    <t>Plain_multiaxial_21</t>
  </si>
  <si>
    <t>Plain_multiaxial_22</t>
  </si>
  <si>
    <t>Plain_multiaxial_23</t>
  </si>
  <si>
    <t>Plain_multiaxial_24</t>
  </si>
  <si>
    <t>Plain_multiaxial_25</t>
  </si>
  <si>
    <t>Plain_multiaxial_26</t>
  </si>
  <si>
    <t>Plain_multiaxial_27</t>
  </si>
  <si>
    <t>Plain_multiaxial_28</t>
  </si>
  <si>
    <t>Plain_multiaxial_29</t>
  </si>
  <si>
    <t>L_LI</t>
  </si>
  <si>
    <t>k_MGSE</t>
  </si>
  <si>
    <t>a_MSWT</t>
  </si>
  <si>
    <t>alpha_w</t>
  </si>
  <si>
    <t>xi_ZHU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</si>
</sst>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Normal 2" xfId="1" xr:uid="{E23E317D-3AF4-4559-87DE-5CD15665ACCC}"/>
    <cellStyle name="Normale" xfId="0" builtinId="0"/>
  </cellStyles>
  <dxfs count="57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Dataset!$E$2:$E$105</c:f>
              <c:numCache>
                <c:formatCode>General</c:formatCode>
                <c:ptCount val="104"/>
                <c:pt idx="0">
                  <c:v>75621.824592582299</c:v>
                </c:pt>
                <c:pt idx="1">
                  <c:v>138257.954633599</c:v>
                </c:pt>
                <c:pt idx="2">
                  <c:v>159701.09462093699</c:v>
                </c:pt>
                <c:pt idx="3">
                  <c:v>184793.617935077</c:v>
                </c:pt>
                <c:pt idx="4">
                  <c:v>197176.63296379699</c:v>
                </c:pt>
                <c:pt idx="5">
                  <c:v>228157.38028673301</c:v>
                </c:pt>
                <c:pt idx="6">
                  <c:v>258114.09915933901</c:v>
                </c:pt>
                <c:pt idx="7">
                  <c:v>345627.22485078598</c:v>
                </c:pt>
                <c:pt idx="8">
                  <c:v>401179.14207474398</c:v>
                </c:pt>
                <c:pt idx="9">
                  <c:v>527793.89347280504</c:v>
                </c:pt>
                <c:pt idx="10">
                  <c:v>478318.07501176599</c:v>
                </c:pt>
                <c:pt idx="11">
                  <c:v>645987.919165603</c:v>
                </c:pt>
                <c:pt idx="12">
                  <c:v>1025519.29114769</c:v>
                </c:pt>
                <c:pt idx="13">
                  <c:v>901940.44295126095</c:v>
                </c:pt>
                <c:pt idx="14">
                  <c:v>1576842.7796910999</c:v>
                </c:pt>
                <c:pt idx="15">
                  <c:v>2629781.5962850498</c:v>
                </c:pt>
                <c:pt idx="16">
                  <c:v>1843487.3708033101</c:v>
                </c:pt>
                <c:pt idx="17">
                  <c:v>1269406</c:v>
                </c:pt>
                <c:pt idx="18">
                  <c:v>253166</c:v>
                </c:pt>
                <c:pt idx="19">
                  <c:v>147470</c:v>
                </c:pt>
                <c:pt idx="20">
                  <c:v>212560</c:v>
                </c:pt>
                <c:pt idx="21">
                  <c:v>5000000</c:v>
                </c:pt>
                <c:pt idx="22">
                  <c:v>5000000</c:v>
                </c:pt>
                <c:pt idx="23">
                  <c:v>274825</c:v>
                </c:pt>
                <c:pt idx="24">
                  <c:v>33380</c:v>
                </c:pt>
                <c:pt idx="25">
                  <c:v>1045282</c:v>
                </c:pt>
                <c:pt idx="26">
                  <c:v>5000000</c:v>
                </c:pt>
                <c:pt idx="27">
                  <c:v>5000000</c:v>
                </c:pt>
                <c:pt idx="28">
                  <c:v>5000000</c:v>
                </c:pt>
                <c:pt idx="29">
                  <c:v>74300</c:v>
                </c:pt>
                <c:pt idx="30">
                  <c:v>3620</c:v>
                </c:pt>
                <c:pt idx="31">
                  <c:v>66300</c:v>
                </c:pt>
                <c:pt idx="32">
                  <c:v>404746.825120622</c:v>
                </c:pt>
                <c:pt idx="33" formatCode="0">
                  <c:v>508719.92174515402</c:v>
                </c:pt>
                <c:pt idx="34" formatCode="0">
                  <c:v>644644.52728365001</c:v>
                </c:pt>
                <c:pt idx="35" formatCode="0">
                  <c:v>732849.46659442398</c:v>
                </c:pt>
                <c:pt idx="36" formatCode="0">
                  <c:v>1016039.66239513</c:v>
                </c:pt>
                <c:pt idx="37" formatCode="0">
                  <c:v>1427365.2572614001</c:v>
                </c:pt>
                <c:pt idx="38">
                  <c:v>1452386.7941518</c:v>
                </c:pt>
                <c:pt idx="39">
                  <c:v>1722441.88711992</c:v>
                </c:pt>
                <c:pt idx="40">
                  <c:v>2271238.7387154</c:v>
                </c:pt>
                <c:pt idx="41">
                  <c:v>2466545.3859769301</c:v>
                </c:pt>
                <c:pt idx="42">
                  <c:v>3306323.2095004702</c:v>
                </c:pt>
                <c:pt idx="43">
                  <c:v>3583503.2049856298</c:v>
                </c:pt>
                <c:pt idx="44">
                  <c:v>3830217.7087692898</c:v>
                </c:pt>
                <c:pt idx="45">
                  <c:v>5714059.5241061598</c:v>
                </c:pt>
                <c:pt idx="46">
                  <c:v>1178000</c:v>
                </c:pt>
                <c:pt idx="47">
                  <c:v>204561</c:v>
                </c:pt>
                <c:pt idx="48">
                  <c:v>510918</c:v>
                </c:pt>
                <c:pt idx="49">
                  <c:v>162541</c:v>
                </c:pt>
                <c:pt idx="50">
                  <c:v>5000000</c:v>
                </c:pt>
                <c:pt idx="51">
                  <c:v>129589</c:v>
                </c:pt>
                <c:pt idx="52">
                  <c:v>1852540</c:v>
                </c:pt>
                <c:pt idx="53">
                  <c:v>5000000</c:v>
                </c:pt>
                <c:pt idx="54">
                  <c:v>349233</c:v>
                </c:pt>
                <c:pt idx="55">
                  <c:v>741551</c:v>
                </c:pt>
                <c:pt idx="56">
                  <c:v>286444</c:v>
                </c:pt>
                <c:pt idx="57">
                  <c:v>247409</c:v>
                </c:pt>
                <c:pt idx="58">
                  <c:v>5000000</c:v>
                </c:pt>
                <c:pt idx="59">
                  <c:v>2683213</c:v>
                </c:pt>
                <c:pt idx="60">
                  <c:v>80799</c:v>
                </c:pt>
                <c:pt idx="61">
                  <c:v>61036</c:v>
                </c:pt>
                <c:pt idx="62">
                  <c:v>5000000</c:v>
                </c:pt>
                <c:pt idx="63">
                  <c:v>2113</c:v>
                </c:pt>
                <c:pt idx="64">
                  <c:v>356338</c:v>
                </c:pt>
                <c:pt idx="65">
                  <c:v>5000000</c:v>
                </c:pt>
                <c:pt idx="66">
                  <c:v>591086</c:v>
                </c:pt>
                <c:pt idx="67">
                  <c:v>1297038</c:v>
                </c:pt>
                <c:pt idx="68">
                  <c:v>5000000</c:v>
                </c:pt>
                <c:pt idx="69">
                  <c:v>1162508</c:v>
                </c:pt>
                <c:pt idx="70">
                  <c:v>64471</c:v>
                </c:pt>
                <c:pt idx="71">
                  <c:v>5000000</c:v>
                </c:pt>
                <c:pt idx="72">
                  <c:v>2727865</c:v>
                </c:pt>
                <c:pt idx="73">
                  <c:v>5000000</c:v>
                </c:pt>
                <c:pt idx="74">
                  <c:v>144928</c:v>
                </c:pt>
                <c:pt idx="75">
                  <c:v>741986</c:v>
                </c:pt>
                <c:pt idx="76">
                  <c:v>174751</c:v>
                </c:pt>
                <c:pt idx="77">
                  <c:v>5000000</c:v>
                </c:pt>
                <c:pt idx="78">
                  <c:v>530148</c:v>
                </c:pt>
                <c:pt idx="79">
                  <c:v>637436</c:v>
                </c:pt>
                <c:pt idx="80">
                  <c:v>1292667</c:v>
                </c:pt>
                <c:pt idx="81">
                  <c:v>734753</c:v>
                </c:pt>
                <c:pt idx="82">
                  <c:v>1246068</c:v>
                </c:pt>
                <c:pt idx="83">
                  <c:v>183404</c:v>
                </c:pt>
                <c:pt idx="84">
                  <c:v>1540572</c:v>
                </c:pt>
                <c:pt idx="85">
                  <c:v>1347924</c:v>
                </c:pt>
                <c:pt idx="86">
                  <c:v>1313298</c:v>
                </c:pt>
                <c:pt idx="87">
                  <c:v>1166925</c:v>
                </c:pt>
                <c:pt idx="88">
                  <c:v>3583227</c:v>
                </c:pt>
                <c:pt idx="89">
                  <c:v>630058</c:v>
                </c:pt>
                <c:pt idx="90">
                  <c:v>628732</c:v>
                </c:pt>
                <c:pt idx="91">
                  <c:v>2797404</c:v>
                </c:pt>
                <c:pt idx="92">
                  <c:v>5000000</c:v>
                </c:pt>
                <c:pt idx="93" formatCode="0">
                  <c:v>1000000</c:v>
                </c:pt>
                <c:pt idx="94" formatCode="0">
                  <c:v>564088</c:v>
                </c:pt>
                <c:pt idx="95" formatCode="0">
                  <c:v>311401</c:v>
                </c:pt>
                <c:pt idx="96" formatCode="0">
                  <c:v>239600</c:v>
                </c:pt>
                <c:pt idx="97" formatCode="0">
                  <c:v>109087</c:v>
                </c:pt>
                <c:pt idx="98" formatCode="0">
                  <c:v>97366</c:v>
                </c:pt>
                <c:pt idx="99" formatCode="0">
                  <c:v>48740</c:v>
                </c:pt>
                <c:pt idx="100" formatCode="0">
                  <c:v>27204</c:v>
                </c:pt>
                <c:pt idx="101" formatCode="0">
                  <c:v>4114</c:v>
                </c:pt>
                <c:pt idx="102" formatCode="0">
                  <c:v>1000000</c:v>
                </c:pt>
                <c:pt idx="103" formatCode="0">
                  <c:v>618128</c:v>
                </c:pt>
              </c:numCache>
            </c:numRef>
          </c:xVal>
          <c:yVal>
            <c:numRef>
              <c:f>Dataset!$AH$2:$AH$105</c:f>
              <c:numCache>
                <c:formatCode>General</c:formatCode>
                <c:ptCount val="104"/>
                <c:pt idx="0">
                  <c:v>481.88355163050898</c:v>
                </c:pt>
                <c:pt idx="1">
                  <c:v>421.52816054749201</c:v>
                </c:pt>
                <c:pt idx="2">
                  <c:v>451.62366557506101</c:v>
                </c:pt>
                <c:pt idx="3">
                  <c:v>451.67293992397703</c:v>
                </c:pt>
                <c:pt idx="4">
                  <c:v>451.69484136022498</c:v>
                </c:pt>
                <c:pt idx="5">
                  <c:v>451.74412347476698</c:v>
                </c:pt>
                <c:pt idx="6">
                  <c:v>421.72493407561802</c:v>
                </c:pt>
                <c:pt idx="7">
                  <c:v>420.36728064972903</c:v>
                </c:pt>
                <c:pt idx="8">
                  <c:v>372.04799101680197</c:v>
                </c:pt>
                <c:pt idx="9">
                  <c:v>392.521153995193</c:v>
                </c:pt>
                <c:pt idx="10">
                  <c:v>410.45754724606701</c:v>
                </c:pt>
                <c:pt idx="11">
                  <c:v>402.15625221348802</c:v>
                </c:pt>
                <c:pt idx="12">
                  <c:v>401.603322460649</c:v>
                </c:pt>
                <c:pt idx="13">
                  <c:v>381.35385670645502</c:v>
                </c:pt>
                <c:pt idx="14">
                  <c:v>393.51926001945901</c:v>
                </c:pt>
                <c:pt idx="15">
                  <c:v>382.97527778420698</c:v>
                </c:pt>
                <c:pt idx="16">
                  <c:v>361.10841586552198</c:v>
                </c:pt>
                <c:pt idx="17">
                  <c:v>450</c:v>
                </c:pt>
                <c:pt idx="18">
                  <c:v>450</c:v>
                </c:pt>
                <c:pt idx="19">
                  <c:v>500</c:v>
                </c:pt>
                <c:pt idx="20">
                  <c:v>500</c:v>
                </c:pt>
                <c:pt idx="21">
                  <c:v>400</c:v>
                </c:pt>
                <c:pt idx="22">
                  <c:v>425</c:v>
                </c:pt>
                <c:pt idx="23">
                  <c:v>450</c:v>
                </c:pt>
                <c:pt idx="24">
                  <c:v>500</c:v>
                </c:pt>
                <c:pt idx="25">
                  <c:v>425</c:v>
                </c:pt>
                <c:pt idx="26">
                  <c:v>425</c:v>
                </c:pt>
                <c:pt idx="27">
                  <c:v>400</c:v>
                </c:pt>
                <c:pt idx="28">
                  <c:v>425</c:v>
                </c:pt>
                <c:pt idx="29">
                  <c:v>550</c:v>
                </c:pt>
                <c:pt idx="30">
                  <c:v>600</c:v>
                </c:pt>
                <c:pt idx="31">
                  <c:v>550</c:v>
                </c:pt>
                <c:pt idx="32">
                  <c:v>123.69405788867201</c:v>
                </c:pt>
                <c:pt idx="33">
                  <c:v>123.75792076544801</c:v>
                </c:pt>
                <c:pt idx="34">
                  <c:v>123.824099219077</c:v>
                </c:pt>
                <c:pt idx="35">
                  <c:v>109.902245629625</c:v>
                </c:pt>
                <c:pt idx="36">
                  <c:v>110.556552616128</c:v>
                </c:pt>
                <c:pt idx="37">
                  <c:v>95.1585761308299</c:v>
                </c:pt>
                <c:pt idx="38">
                  <c:v>100.23993486787001</c:v>
                </c:pt>
                <c:pt idx="39">
                  <c:v>95.695112020103494</c:v>
                </c:pt>
                <c:pt idx="40">
                  <c:v>90.904446999322104</c:v>
                </c:pt>
                <c:pt idx="41">
                  <c:v>94.7821709791952</c:v>
                </c:pt>
                <c:pt idx="42">
                  <c:v>90.5098240922689</c:v>
                </c:pt>
                <c:pt idx="43">
                  <c:v>85.495108692187898</c:v>
                </c:pt>
                <c:pt idx="44">
                  <c:v>91.0117596297669</c:v>
                </c:pt>
                <c:pt idx="45">
                  <c:v>90.621682407055005</c:v>
                </c:pt>
                <c:pt idx="46">
                  <c:v>100</c:v>
                </c:pt>
                <c:pt idx="47">
                  <c:v>150</c:v>
                </c:pt>
                <c:pt idx="48">
                  <c:v>100</c:v>
                </c:pt>
                <c:pt idx="49">
                  <c:v>150</c:v>
                </c:pt>
                <c:pt idx="50">
                  <c:v>80</c:v>
                </c:pt>
                <c:pt idx="51">
                  <c:v>150</c:v>
                </c:pt>
                <c:pt idx="52">
                  <c:v>80</c:v>
                </c:pt>
                <c:pt idx="53">
                  <c:v>80</c:v>
                </c:pt>
                <c:pt idx="54">
                  <c:v>125</c:v>
                </c:pt>
                <c:pt idx="55">
                  <c:v>100</c:v>
                </c:pt>
                <c:pt idx="56">
                  <c:v>125</c:v>
                </c:pt>
                <c:pt idx="57">
                  <c:v>125</c:v>
                </c:pt>
                <c:pt idx="58">
                  <c:v>75</c:v>
                </c:pt>
                <c:pt idx="59">
                  <c:v>85</c:v>
                </c:pt>
                <c:pt idx="60">
                  <c:v>692.8203230275509</c:v>
                </c:pt>
                <c:pt idx="61">
                  <c:v>692.8203230275509</c:v>
                </c:pt>
                <c:pt idx="62">
                  <c:v>554.25625842204079</c:v>
                </c:pt>
                <c:pt idx="63">
                  <c:v>831.38438763306112</c:v>
                </c:pt>
                <c:pt idx="64">
                  <c:v>623.53829072479584</c:v>
                </c:pt>
                <c:pt idx="65">
                  <c:v>588.89727457341826</c:v>
                </c:pt>
                <c:pt idx="66">
                  <c:v>623.53829072479584</c:v>
                </c:pt>
                <c:pt idx="67">
                  <c:v>588.89727457341826</c:v>
                </c:pt>
                <c:pt idx="68">
                  <c:v>588.89727457341826</c:v>
                </c:pt>
                <c:pt idx="69">
                  <c:v>623.53829072479584</c:v>
                </c:pt>
                <c:pt idx="70">
                  <c:v>692.8203230275509</c:v>
                </c:pt>
                <c:pt idx="71">
                  <c:v>571.57676649772952</c:v>
                </c:pt>
                <c:pt idx="72">
                  <c:v>571.57676649772952</c:v>
                </c:pt>
                <c:pt idx="73">
                  <c:v>433.0127018922193</c:v>
                </c:pt>
                <c:pt idx="74">
                  <c:v>519.6152422706632</c:v>
                </c:pt>
                <c:pt idx="75">
                  <c:v>484.97422611928562</c:v>
                </c:pt>
                <c:pt idx="76">
                  <c:v>519.6152422706632</c:v>
                </c:pt>
                <c:pt idx="77">
                  <c:v>450.33320996790809</c:v>
                </c:pt>
                <c:pt idx="78">
                  <c:v>484.97422611928562</c:v>
                </c:pt>
                <c:pt idx="79">
                  <c:v>484.97422611928562</c:v>
                </c:pt>
                <c:pt idx="80">
                  <c:v>467.65371804359688</c:v>
                </c:pt>
                <c:pt idx="81">
                  <c:v>467.65371804359688</c:v>
                </c:pt>
                <c:pt idx="82">
                  <c:v>467.65371804359688</c:v>
                </c:pt>
                <c:pt idx="83">
                  <c:v>519.6152422706632</c:v>
                </c:pt>
                <c:pt idx="84">
                  <c:v>389.7114317029974</c:v>
                </c:pt>
                <c:pt idx="85">
                  <c:v>389.7114317029974</c:v>
                </c:pt>
                <c:pt idx="86">
                  <c:v>433.0127018922193</c:v>
                </c:pt>
                <c:pt idx="87">
                  <c:v>433.0127018922193</c:v>
                </c:pt>
                <c:pt idx="88">
                  <c:v>303.10889132455355</c:v>
                </c:pt>
                <c:pt idx="89">
                  <c:v>519.6152422706632</c:v>
                </c:pt>
                <c:pt idx="90">
                  <c:v>519.6152422706632</c:v>
                </c:pt>
                <c:pt idx="91">
                  <c:v>346.41016151377545</c:v>
                </c:pt>
                <c:pt idx="92">
                  <c:v>303.10889132455355</c:v>
                </c:pt>
                <c:pt idx="93">
                  <c:v>601.07277429609132</c:v>
                </c:pt>
                <c:pt idx="94">
                  <c:v>615.12488975816939</c:v>
                </c:pt>
                <c:pt idx="95">
                  <c:v>622.21218245868511</c:v>
                </c:pt>
                <c:pt idx="96">
                  <c:v>629.29947560759967</c:v>
                </c:pt>
                <c:pt idx="97">
                  <c:v>657.64865239731159</c:v>
                </c:pt>
                <c:pt idx="98">
                  <c:v>664.73594757617855</c:v>
                </c:pt>
                <c:pt idx="99">
                  <c:v>700.04994107563493</c:v>
                </c:pt>
                <c:pt idx="100">
                  <c:v>735.36393710869447</c:v>
                </c:pt>
                <c:pt idx="101">
                  <c:v>862.69028045991104</c:v>
                </c:pt>
                <c:pt idx="102">
                  <c:v>636.38676918993212</c:v>
                </c:pt>
                <c:pt idx="103">
                  <c:v>657.64865239731159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D-4EFE-8BDE-488CF8FD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1</xdr:col>
      <xdr:colOff>2926080</xdr:colOff>
      <xdr:row>40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B15026C-3607-4250-A71E-97ABF8706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R5" totalsRowShown="0" headerRowDxfId="56" dataDxfId="55">
  <autoFilter ref="A1:R5" xr:uid="{7EB9CA7B-F9F7-4B65-BAF9-0554C4DD3A3C}"/>
  <tableColumns count="18">
    <tableColumn id="1" xr3:uid="{8E3D1E9D-FBEE-441F-8710-5037CD4F23F4}" name="Article DOI" dataDxfId="54"/>
    <tableColumn id="11" xr3:uid="{DB748F3A-E0FD-40A7-AD76-C03A14000D6D}" name="Authors" dataDxfId="53"/>
    <tableColumn id="8" xr3:uid="{5AA73CAD-51B7-41DD-94EB-F60F774B9687}" name="Article year" dataDxfId="52"/>
    <tableColumn id="2" xr3:uid="{06FA6682-59D0-409F-9A0C-E6CD1808F355}" name="Material name" dataDxfId="51"/>
    <tableColumn id="3" xr3:uid="{576FC30A-97BD-425F-92F2-9A2823474F7C}" name="Young's modulus (MPa)" dataDxfId="50"/>
    <tableColumn id="4" xr3:uid="{63CF6BC0-ABE3-408E-84A9-EDA0B421D7E2}" name="Poisson's ratio (-)" dataDxfId="49"/>
    <tableColumn id="5" xr3:uid="{BF08D467-4D62-4CAB-A94F-0030F94E8A2E}" name="Tensile strength (MPa)" dataDxfId="48"/>
    <tableColumn id="6" xr3:uid="{CDCD2563-ECD7-4843-B859-5F7762FE830B}" name="Yield strength (MPa)" dataDxfId="47"/>
    <tableColumn id="7" xr3:uid="{7991DD6F-6040-4C6F-AEB4-2211698F999C}" name="Tensile fatigue limit* (MPa)" dataDxfId="46"/>
    <tableColumn id="9" xr3:uid="{C339353B-B530-41A6-97D0-BD9E3EFB3E1B}" name="Torsional fatigue limit* (MPa)" dataDxfId="45"/>
    <tableColumn id="10" xr3:uid="{EC242BA9-DE01-42A2-8C6C-75459CDE529E}" name="K" dataDxfId="44">
      <calculatedColumnFormula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calculatedColumnFormula>
    </tableColumn>
    <tableColumn id="12" xr3:uid="{2706D70E-07F0-46AE-B060-716EFEF46FE9}" name="k FS (-)" dataDxfId="43"/>
    <tableColumn id="13" xr3:uid="{AC0C9453-4F1D-428E-8B4A-FFA7F59C8629}" name="k FI (-)" dataDxfId="42"/>
    <tableColumn id="14" xr3:uid="{EA69BACE-38CD-4848-A951-727183E325BD}" name="L_LI" dataDxfId="41"/>
    <tableColumn id="15" xr3:uid="{AD38DCC0-5477-4850-A1CD-A527B66FD54B}" name="k_MGSE" dataDxfId="40"/>
    <tableColumn id="16" xr3:uid="{93701C45-3072-4892-A612-86238225891A}" name="a_MSWT" dataDxfId="39"/>
    <tableColumn id="17" xr3:uid="{AE589AEA-A7D1-4655-B471-D0348982CA47}" name="alpha_w" dataDxfId="38"/>
    <tableColumn id="18" xr3:uid="{AE7D108F-3C88-417B-A3AE-99FBE587FFDD}" name="xi_ZHU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I123" totalsRowShown="0" headerRowDxfId="36" dataDxfId="35">
  <autoFilter ref="A1:AI123" xr:uid="{86243907-AA5D-4F4D-8699-490D77B21127}"/>
  <tableColumns count="35">
    <tableColumn id="31" xr3:uid="{05937513-BC98-44D1-A5DC-F19589B15DDF}" name="Authors" dataDxfId="34"/>
    <tableColumn id="32" xr3:uid="{DCBCBA66-A67E-429B-A752-67A81643133E}" name="Article year" dataDxfId="33"/>
    <tableColumn id="1" xr3:uid="{3EF58343-2BF6-4DB2-9106-D379EEF2D80C}" name="Article DOI" dataDxfId="32">
      <calculatedColumnFormula>Summary!#REF!</calculatedColumnFormula>
    </tableColumn>
    <tableColumn id="30" xr3:uid="{FA5CACDD-A594-4207-9BA7-C7F165153D5B}" name="Specimen name" dataDxfId="31"/>
    <tableColumn id="2" xr3:uid="{19DD8629-B305-4804-A689-1057FBADF71C}" name="Number of cycles to failure" dataDxfId="30"/>
    <tableColumn id="4" xr3:uid="{27575528-FAA3-4B4C-8860-7A7CFCB79DBE}" name="Run out (Yes/No)" dataDxfId="29"/>
    <tableColumn id="3" xr3:uid="{0CF78E1F-0EC3-474A-B3FD-519C01702157}" name="Failure type (complete rupture/stiffness decrease)" dataDxfId="28"/>
    <tableColumn id="26" xr3:uid="{05D9D755-9B11-40C9-8DCB-B9E39E20FA04}" name="Geometry picture" dataDxfId="27"/>
    <tableColumn id="33" xr3:uid="{936299CD-E030-4427-B1AB-D5CB204A04BE}" name="Geometry type (flat/cylindrical)" dataDxfId="26"/>
    <tableColumn id="34" xr3:uid="{09266E8F-9B14-40D4-88AB-80CC92F93BA2}" name="Notched" dataDxfId="25"/>
    <tableColumn id="27" xr3:uid="{D5A8CCC0-542A-450B-8F88-B47472F29E40}" name="Diameter (mm)" dataDxfId="24"/>
    <tableColumn id="28" xr3:uid="{36725B61-E4CB-4B7E-AF40-7F3BC6BE6CB3}" name="Area (mm^2)" dataDxfId="23">
      <calculatedColumnFormula>PI()*(Tabella2[[#This Row],[Diameter (mm)]]/2)^2</calculatedColumnFormula>
    </tableColumn>
    <tableColumn id="29" xr3:uid="{ADA51E38-565E-4B07-AA7F-4531D7FB559A}" name="Polar momento of inertia (mm^4)" dataDxfId="22">
      <calculatedColumnFormula>(PI()*Tabella2[[#This Row],[Diameter (mm)]]^4)/32</calculatedColumnFormula>
    </tableColumn>
    <tableColumn id="21" xr3:uid="{C8363B8B-B0C3-4670-AE9B-A3DF1F1D9748}" name="Phase radial load (°)" dataDxfId="21"/>
    <tableColumn id="22" xr3:uid="{9A8358C3-645B-4F7B-A800-BF2013564F31}" name="Phase torsional load (°)" dataDxfId="20"/>
    <tableColumn id="23" xr3:uid="{9724DA05-688A-43E5-9AAC-5035994CD3C7}" name="Load ratio (RADIAL)" dataDxfId="19"/>
    <tableColumn id="24" xr3:uid="{5794A9BC-D825-4DEA-82F2-22B1FB825367}" name="Load ratio (AXIAL)" dataDxfId="18"/>
    <tableColumn id="25" xr3:uid="{A209A6A1-8B94-4DAE-9AD9-68A32BB08635}" name="Load ratio (TORSIONAL)" dataDxfId="17"/>
    <tableColumn id="5" xr3:uid="{A0FF1031-7EB5-4BFE-B59F-07965E377818}" name="Mean RADIAL stress  (MPa)" dataDxfId="16">
      <calculatedColumnFormula>IF(ISNUMBER(Tabella2[[#This Row],[Amplitute RADIAL stress  (MPa)]]), (1+Tabella2[[#This Row],[Load ratio (RADIAL)]])*Tabella2[[#This Row],[Amplitute RADIAL stress  (MPa)]]/(1-Tabella2[[#This Row],[Load ratio (RADIAL)]]), "Null")</calculatedColumnFormula>
    </tableColumn>
    <tableColumn id="6" xr3:uid="{CFA41242-20EF-4D5D-9025-FC3F232CBE04}" name="Amplitute RADIAL stress  (MPa)" dataDxfId="15"/>
    <tableColumn id="7" xr3:uid="{5CAC5608-D280-45C3-AE90-509A4A6A1487}" name="Mean AXIAL stress  (MPa)" dataDxfId="14">
      <calculatedColumnFormula>IF(ISNUMBER(Tabella2[[#This Row],[Amplitute AXIAL stress  (MPa)]]), (1+Tabella2[[#This Row],[Load ratio (AXIAL)]])*Tabella2[[#This Row],[Amplitute AXIAL stress  (MPa)]]/(1-Tabella2[[#This Row],[Load ratio (AXIAL)]]), "Null")</calculatedColumnFormula>
    </tableColumn>
    <tableColumn id="8" xr3:uid="{933ACC34-FA80-47BE-87CF-5D7D742564A2}" name="Amplitute AXIAL stress  (MPa)" dataDxfId="13"/>
    <tableColumn id="9" xr3:uid="{A6A7850B-F861-49F2-8B93-D445639EFEC2}" name="Mean SHEAR stress  (MPa)" dataDxfId="12">
      <calculatedColumnFormula>IF(ISNUMBER(Tabella2[[#This Row],[Amplitute SHEAR stress  (MPa)]]), (1+Tabella2[[#This Row],[Load ratio (TORSIONAL)]])*Tabella2[[#This Row],[Amplitute SHEAR stress  (MPa)]]/(1-Tabella2[[#This Row],[Load ratio (TORSIONAL)]]), "Null")</calculatedColumnFormula>
    </tableColumn>
    <tableColumn id="10" xr3:uid="{2FCDB52E-3BD8-4D04-8689-303C003D64AE}" name="Amplitute SHEAR stress  (MPa)" dataDxfId="11"/>
    <tableColumn id="11" xr3:uid="{55A815C1-60F5-4742-964D-FCD9116BB3D3}" name="Mean internal pressure  (MPa)" dataDxfId="10">
      <calculatedColumnFormula>Tabella2[[#This Row],[Mean RADIAL stress  (MPa)]]</calculatedColumnFormula>
    </tableColumn>
    <tableColumn id="12" xr3:uid="{A3A206A7-7207-472E-A9D8-013B3CFCAFCB}" name="Amplitute internal pressure  (MPa)" dataDxfId="9">
      <calculatedColumnFormula>Tabella2[[#This Row],[Amplitute RADIAL stress  (MPa)]]</calculatedColumnFormula>
    </tableColumn>
    <tableColumn id="13" xr3:uid="{59F23F77-C462-42EF-A7B8-BCE0399B2282}" name="Maximum internal pressure  (MPa)" dataDxfId="8">
      <calculatedColumnFormula>IF( AND(ISNUMBER(Tabella2[[#This Row],[Mean internal pressure  (MPa)]]), ISNUMBER(Tabella2[[#This Row],[Amplitute internal pressure  (MPa)]])),Tabella2[[#This Row],[Mean internal pressure  (MPa)]]+Tabella2[[#This Row],[Amplitute internal pressure  (MPa)]],"Null")</calculatedColumnFormula>
    </tableColumn>
    <tableColumn id="14" xr3:uid="{B1691BE1-3E2F-4716-9F3A-1870C13BFA59}" name="Mean AXIAL force (N)" dataDxfId="7">
      <calculatedColumnFormula>IF( AND(ISNUMBER(Tabella2[[#This Row],[Mean AXIAL stress  (MPa)]]), ISNUMBER(Tabella2[[#This Row],[Area (mm^2)]])), Tabella2[[#This Row],[Mean AXIAL stress  (MPa)]]*Tabella2[[#This Row],[Area (mm^2)]], "Null")</calculatedColumnFormula>
    </tableColumn>
    <tableColumn id="15" xr3:uid="{39679A56-909C-45C5-BD65-6A002D6E966C}" name="Amplitude AXIAL force (N)" dataDxfId="6">
      <calculatedColumnFormula>IF( AND(ISNUMBER(Tabella2[[#This Row],[Amplitute AXIAL stress  (MPa)]]), ISNUMBER(Tabella2[[#This Row],[Area (mm^2)]])), Tabella2[[#This Row],[Amplitute AXIAL stress  (MPa)]]*Tabella2[[#This Row],[Area (mm^2)]],"Null")</calculatedColumnFormula>
    </tableColumn>
    <tableColumn id="16" xr3:uid="{BA732604-A227-4A18-87FA-051A485B9FD0}" name="Maximum AXIAL force (N)" dataDxfId="5">
      <calculatedColumnFormula>IF( AND(ISNUMBER(Tabella2[[#This Row],[Amplitude AXIAL force (N)]]), ISNUMBER(Tabella2[[#This Row],[Mean AXIAL force (N)]])), Tabella2[[#This Row],[Amplitude AXIAL force (N)]]+Tabella2[[#This Row],[Mean AXIAL force (N)]],"Null")</calculatedColumnFormula>
    </tableColumn>
    <tableColumn id="17" xr3:uid="{B9FCDDAE-82CF-4FB8-907C-A1558D43EF84}" name="Mean TORQUE (Nmm)" dataDxfId="4">
      <calculatedColumnFormula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calculatedColumnFormula>
    </tableColumn>
    <tableColumn id="18" xr3:uid="{C66D42EC-66DD-4028-A153-9A90E5649F9D}" name="Amplitude TORQUE (Nmm)" dataDxfId="3">
      <calculatedColumnFormula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calculatedColumnFormula>
    </tableColumn>
    <tableColumn id="19" xr3:uid="{F5448A01-6717-4E64-935F-BD7FC3289F3F}" name="Maximum TORQUE (Nmm)" dataDxfId="2">
      <calculatedColumnFormula>IF(
   AND(ISNUMBER(Tabella2[[#This Row],[Mean TORQUE (Nmm)]]), ISNUMBER(Tabella2[[#This Row],[Amplitude TORQUE (Nmm)]])),
   Tabella2[[#This Row],[Mean TORQUE (Nmm)]]+Tabella2[[#This Row],[Amplitude TORQUE (Nmm)]],
   "Null"
)</calculatedColumnFormula>
    </tableColumn>
    <tableColumn id="35" xr3:uid="{AFF99AC6-68A3-4FB0-9D2C-34416BD07DF3}" name="Amplitude von Mises (MPa)" dataDxfId="1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  <tableColumn id="20" xr3:uid="{D27EA8AC-AA88-4708-8985-FCB1FE48E26F}" name="Lambda (tauA/sigmaA)" dataDxfId="0">
      <calculatedColumnFormula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topLeftCell="F1" workbookViewId="0">
      <selection activeCell="O2" sqref="O2"/>
    </sheetView>
  </sheetViews>
  <sheetFormatPr defaultRowHeight="15" x14ac:dyDescent="0.25"/>
  <cols>
    <col min="1" max="1" width="30.140625" bestFit="1" customWidth="1"/>
    <col min="2" max="2" width="42.85546875" bestFit="1" customWidth="1"/>
    <col min="3" max="3" width="42.28515625" bestFit="1" customWidth="1"/>
    <col min="4" max="4" width="17.7109375" bestFit="1" customWidth="1"/>
    <col min="5" max="5" width="25.7109375" bestFit="1" customWidth="1"/>
    <col min="6" max="6" width="20" bestFit="1" customWidth="1"/>
    <col min="7" max="7" width="24.5703125" bestFit="1" customWidth="1"/>
    <col min="8" max="8" width="22.7109375" bestFit="1" customWidth="1"/>
    <col min="9" max="9" width="28.7109375" bestFit="1" customWidth="1"/>
    <col min="10" max="10" width="30.7109375" bestFit="1" customWidth="1"/>
    <col min="11" max="11" width="9.28515625" bestFit="1" customWidth="1"/>
    <col min="12" max="12" width="11.28515625" bestFit="1" customWidth="1"/>
    <col min="13" max="13" width="10.7109375" bestFit="1" customWidth="1"/>
    <col min="15" max="15" width="12.85546875" bestFit="1" customWidth="1"/>
    <col min="16" max="16" width="13.42578125" bestFit="1" customWidth="1"/>
    <col min="17" max="17" width="13" bestFit="1" customWidth="1"/>
    <col min="18" max="18" width="11.85546875" bestFit="1" customWidth="1"/>
  </cols>
  <sheetData>
    <row r="1" spans="1:18" x14ac:dyDescent="0.25">
      <c r="A1" s="2" t="s">
        <v>0</v>
      </c>
      <c r="B1" s="2" t="s">
        <v>42</v>
      </c>
      <c r="C1" s="2" t="s">
        <v>41</v>
      </c>
      <c r="D1" s="2" t="s">
        <v>1</v>
      </c>
      <c r="E1" s="2" t="s">
        <v>36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40</v>
      </c>
      <c r="K1" s="1" t="s">
        <v>5</v>
      </c>
      <c r="L1" s="2" t="s">
        <v>153</v>
      </c>
      <c r="M1" s="2" t="s">
        <v>154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</row>
    <row r="2" spans="1:18" x14ac:dyDescent="0.25">
      <c r="A2" s="1" t="s">
        <v>93</v>
      </c>
      <c r="B2" s="1" t="s">
        <v>90</v>
      </c>
      <c r="C2" s="1">
        <v>2018</v>
      </c>
      <c r="D2" s="1" t="s">
        <v>91</v>
      </c>
      <c r="E2" s="1">
        <v>206000</v>
      </c>
      <c r="F2" s="1">
        <v>0.33</v>
      </c>
      <c r="G2" s="1">
        <v>875</v>
      </c>
      <c r="H2" s="1">
        <v>727</v>
      </c>
      <c r="I2" s="1" t="s">
        <v>35</v>
      </c>
      <c r="J2" s="1" t="s">
        <v>35</v>
      </c>
      <c r="K2" s="1" t="str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Null</v>
      </c>
      <c r="L2" s="1">
        <v>2.0699999999999998</v>
      </c>
      <c r="M2" s="1">
        <v>0.83</v>
      </c>
      <c r="N2" s="1">
        <v>5</v>
      </c>
      <c r="O2" s="1">
        <v>1.1499999999999999</v>
      </c>
      <c r="P2" s="1">
        <v>0.53</v>
      </c>
      <c r="Q2" s="1">
        <v>0</v>
      </c>
      <c r="R2" s="1">
        <v>1</v>
      </c>
    </row>
    <row r="3" spans="1:18" x14ac:dyDescent="0.25">
      <c r="A3" s="1" t="s">
        <v>92</v>
      </c>
      <c r="B3" s="1" t="s">
        <v>50</v>
      </c>
      <c r="C3" s="1">
        <v>2022</v>
      </c>
      <c r="D3" s="1" t="s">
        <v>91</v>
      </c>
      <c r="E3" s="1" t="s">
        <v>35</v>
      </c>
      <c r="F3" s="1" t="s">
        <v>35</v>
      </c>
      <c r="G3" s="1" t="s">
        <v>35</v>
      </c>
      <c r="H3" s="1" t="s">
        <v>35</v>
      </c>
      <c r="I3" s="1">
        <v>433</v>
      </c>
      <c r="J3" s="1">
        <v>344</v>
      </c>
      <c r="K3" s="1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1.2587209302325582</v>
      </c>
      <c r="L3" s="1" t="s">
        <v>35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35</v>
      </c>
      <c r="R3" s="1" t="s">
        <v>35</v>
      </c>
    </row>
    <row r="4" spans="1:18" x14ac:dyDescent="0.25">
      <c r="A4" s="1" t="s">
        <v>155</v>
      </c>
      <c r="B4" s="1" t="s">
        <v>156</v>
      </c>
      <c r="C4" s="1">
        <v>2014</v>
      </c>
      <c r="D4" s="1" t="s">
        <v>157</v>
      </c>
      <c r="E4" s="1">
        <v>206000</v>
      </c>
      <c r="F4" s="1" t="s">
        <v>35</v>
      </c>
      <c r="G4" s="1">
        <v>1100</v>
      </c>
      <c r="H4" s="1">
        <v>980</v>
      </c>
      <c r="I4" s="1" t="s">
        <v>35</v>
      </c>
      <c r="J4" s="1" t="s">
        <v>35</v>
      </c>
      <c r="K4" s="1" t="str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Null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</row>
    <row r="5" spans="1:18" ht="15.75" thickBot="1" x14ac:dyDescent="0.3">
      <c r="A5" s="1" t="s">
        <v>174</v>
      </c>
      <c r="B5" s="1" t="s">
        <v>156</v>
      </c>
      <c r="C5" s="1">
        <v>2013</v>
      </c>
      <c r="D5" s="1" t="s">
        <v>157</v>
      </c>
      <c r="E5" s="1">
        <v>206000</v>
      </c>
      <c r="F5" s="1">
        <v>0.3</v>
      </c>
      <c r="G5" s="1" t="s">
        <v>35</v>
      </c>
      <c r="H5" s="1" t="s">
        <v>35</v>
      </c>
      <c r="I5" s="1" t="s">
        <v>35</v>
      </c>
      <c r="J5" s="1" t="s">
        <v>35</v>
      </c>
      <c r="K5" s="1" t="str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Null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</row>
    <row r="6" spans="1:18" x14ac:dyDescent="0.25">
      <c r="A6" s="15" t="s">
        <v>39</v>
      </c>
      <c r="B6" s="16"/>
      <c r="C6" s="16"/>
      <c r="D6" s="17"/>
      <c r="E6" s="3">
        <f>IF(COUNT(Tabella1[Young''s modulus (MPa)])=0, "Null", AVERAGE(Tabella1[Young''s modulus (MPa)]))</f>
        <v>206000</v>
      </c>
      <c r="F6" s="3">
        <f>IF(COUNT(Tabella1[Poisson''s ratio (-)])=0, "Null", AVERAGE(Tabella1[Poisson''s ratio (-)]))</f>
        <v>0.315</v>
      </c>
      <c r="G6" s="3">
        <f>IF(COUNT(Tabella1[Tensile strength (MPa)])=0, "Null", AVERAGE(Tabella1[Tensile strength (MPa)]))</f>
        <v>987.5</v>
      </c>
      <c r="H6" s="3">
        <f>IF(COUNT(Tabella1[Yield strength (MPa)])=0, "Null", AVERAGE(Tabella1[Yield strength (MPa)]))</f>
        <v>853.5</v>
      </c>
      <c r="I6" s="3">
        <f>IF(COUNT(Tabella1[Tensile fatigue limit* (MPa)])=0, "Null", AVERAGE(Tabella1[Tensile fatigue limit* (MPa)]))</f>
        <v>433</v>
      </c>
      <c r="J6" s="3">
        <f>IF(COUNT(Tabella1[Torsional fatigue limit* (MPa)])=0, "Null", AVERAGE(Tabella1[Torsional fatigue limit* (MPa)]))</f>
        <v>344</v>
      </c>
      <c r="K6" s="4">
        <f>IF(COUNT(Tabella1[K])=0, "Null", AVERAGE(Tabella1[K]))</f>
        <v>1.2587209302325582</v>
      </c>
      <c r="L6" s="4">
        <f>IF(COUNT(Tabella1[k FS (-)])=0, "Null", AVERAGE(Tabella1[k FS (-)]))</f>
        <v>2.0699999999999998</v>
      </c>
      <c r="M6" s="4">
        <f>IF(COUNT(Tabella1[k FI (-)])=0, "Null", AVERAGE(Tabella1[k FI (-)]))</f>
        <v>0.83</v>
      </c>
      <c r="N6" s="4">
        <f>IF(COUNT(Tabella1[L_LI])=0, "Null", AVERAGE(Tabella1[L_LI]))</f>
        <v>5</v>
      </c>
      <c r="O6" s="4">
        <f>IF(COUNT(Tabella1[k_MGSE])=0, "Null", AVERAGE(Tabella1[k_MGSE]))</f>
        <v>1.1499999999999999</v>
      </c>
      <c r="P6" s="4">
        <f>IF(COUNT(Tabella1[a_MSWT])=0, "Null", AVERAGE(Tabella1[a_MSWT]))</f>
        <v>0.53</v>
      </c>
      <c r="Q6" s="4">
        <f>IF(COUNT(Tabella1[alpha_w])=0, "Null", AVERAGE(Tabella1[alpha_w]))</f>
        <v>0</v>
      </c>
      <c r="R6" s="4">
        <f>IF(COUNT(Tabella1[xi_ZHU])=0, "Null", AVERAGE(Tabella1[xi_ZHU]))</f>
        <v>1</v>
      </c>
    </row>
    <row r="7" spans="1:18" ht="15.75" thickBot="1" x14ac:dyDescent="0.3">
      <c r="A7" s="18" t="s">
        <v>38</v>
      </c>
      <c r="B7" s="19"/>
      <c r="C7" s="19"/>
      <c r="D7" s="20"/>
      <c r="E7" s="5">
        <v>5900</v>
      </c>
      <c r="F7" s="6">
        <f>IF(COUNT(Tabella1[Poisson''s ratio (-)])=0, "Null", _xlfn.STDEV.P(Tabella1[Poisson''s ratio (-)]))</f>
        <v>1.5000000000000013E-2</v>
      </c>
      <c r="G7" s="6">
        <f>IF(COUNT(Tabella1[Tensile strength (MPa)])=0, "Null", _xlfn.STDEV.P(Tabella1[Tensile strength (MPa)]))</f>
        <v>112.5</v>
      </c>
      <c r="H7" s="6">
        <f>IF(COUNT(Tabella1[Yield strength (MPa)])=0, "Null", _xlfn.STDEV.P(Tabella1[Yield strength (MPa)]))</f>
        <v>126.5</v>
      </c>
      <c r="I7" s="6">
        <f>IF(COUNT(Tabella1[Tensile fatigue limit* (MPa)])=0, "Null", _xlfn.STDEV.P(Tabella1[Tensile fatigue limit* (MPa)]))</f>
        <v>0</v>
      </c>
      <c r="J7" s="6">
        <f>IF(COUNT(Tabella1[Torsional fatigue limit* (MPa)])=0, "Null", _xlfn.STDEV.P(Tabella1[Torsional fatigue limit* (MPa)]))</f>
        <v>0</v>
      </c>
      <c r="K7" s="6">
        <f>IF(COUNT(Tabella1[K])=0, "Null", _xlfn.STDEV.P(Tabella1[K]))</f>
        <v>0</v>
      </c>
      <c r="L7" s="6">
        <f>IF(COUNT(Tabella1[k FS (-)])=0, "Null", _xlfn.STDEV.P(Tabella1[k FS (-)]))</f>
        <v>0</v>
      </c>
      <c r="M7" s="6">
        <f>IF(COUNT(Tabella1[k FI (-)])=0, "Null", _xlfn.STDEV.P(Tabella1[k FI (-)]))</f>
        <v>0</v>
      </c>
      <c r="N7" s="6">
        <f>IF(COUNT(Tabella1[L_LI])=0, "Null", _xlfn.STDEV.P(Tabella1[L_LI]))</f>
        <v>0</v>
      </c>
      <c r="O7" s="6">
        <f>IF(COUNT(Tabella1[k_MGSE])=0, "Null", _xlfn.STDEV.P(Tabella1[k_MGSE]))</f>
        <v>0</v>
      </c>
      <c r="P7" s="6">
        <f>IF(COUNT(Tabella1[a_MSWT])=0, "Null", _xlfn.STDEV.P(Tabella1[a_MSWT]))</f>
        <v>0</v>
      </c>
      <c r="Q7" s="6">
        <f>IF(COUNT(Tabella1[alpha_w])=0, "Null", _xlfn.STDEV.P(Tabella1[alpha_w]))</f>
        <v>0</v>
      </c>
      <c r="R7" s="6">
        <f>IF(COUNT(Tabella1[xi_ZHU])=0, "Null", _xlfn.STDEV.P(Tabella1[xi_ZHU]))</f>
        <v>0</v>
      </c>
    </row>
    <row r="12" spans="1:18" ht="15.75" thickBot="1" x14ac:dyDescent="0.3"/>
    <row r="13" spans="1:18" x14ac:dyDescent="0.25">
      <c r="A13" s="21" t="s">
        <v>47</v>
      </c>
      <c r="B13" s="9" t="s">
        <v>48</v>
      </c>
    </row>
    <row r="14" spans="1:18" ht="15.75" thickBot="1" x14ac:dyDescent="0.3">
      <c r="A14" s="22"/>
      <c r="B14" s="10" t="s">
        <v>49</v>
      </c>
    </row>
    <row r="26" spans="3:3" x14ac:dyDescent="0.25">
      <c r="C26" s="11" t="s">
        <v>89</v>
      </c>
    </row>
    <row r="27" spans="3:3" x14ac:dyDescent="0.25">
      <c r="C27" s="12">
        <f>COUNTA(Tabella2[Authors])</f>
        <v>122</v>
      </c>
    </row>
  </sheetData>
  <mergeCells count="3">
    <mergeCell ref="A6:D6"/>
    <mergeCell ref="A7:D7"/>
    <mergeCell ref="A13:A14"/>
  </mergeCells>
  <phoneticPr fontId="6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J169"/>
  <sheetViews>
    <sheetView topLeftCell="A82" zoomScale="70" zoomScaleNormal="70" workbookViewId="0">
      <selection activeCell="E120" sqref="E120"/>
    </sheetView>
  </sheetViews>
  <sheetFormatPr defaultRowHeight="15" x14ac:dyDescent="0.25"/>
  <cols>
    <col min="1" max="1" width="30.140625" bestFit="1" customWidth="1"/>
    <col min="2" max="3" width="30.140625" customWidth="1"/>
    <col min="4" max="4" width="19" bestFit="1" customWidth="1"/>
    <col min="5" max="5" width="28.28515625" bestFit="1" customWidth="1"/>
    <col min="6" max="6" width="48.28515625" bestFit="1" customWidth="1"/>
    <col min="7" max="7" width="52.42578125" bestFit="1" customWidth="1"/>
    <col min="8" max="8" width="25.7109375" customWidth="1"/>
    <col min="9" max="9" width="29.140625" customWidth="1"/>
    <col min="10" max="10" width="24.42578125" customWidth="1"/>
    <col min="11" max="11" width="27.85546875" customWidth="1"/>
    <col min="12" max="12" width="34.28515625" bestFit="1" customWidth="1"/>
    <col min="13" max="13" width="37.42578125" bestFit="1" customWidth="1"/>
    <col min="14" max="14" width="28.28515625" customWidth="1"/>
    <col min="15" max="15" width="31.7109375" customWidth="1"/>
    <col min="16" max="16" width="35.140625" bestFit="1" customWidth="1"/>
    <col min="17" max="17" width="23.85546875" bestFit="1" customWidth="1"/>
    <col min="18" max="18" width="27.85546875" bestFit="1" customWidth="1"/>
    <col min="19" max="19" width="39.5703125" bestFit="1" customWidth="1"/>
    <col min="20" max="20" width="32.140625" bestFit="1" customWidth="1"/>
    <col min="21" max="21" width="37.7109375" bestFit="1" customWidth="1"/>
    <col min="22" max="22" width="30.85546875" bestFit="1" customWidth="1"/>
    <col min="23" max="23" width="27.85546875" bestFit="1" customWidth="1"/>
    <col min="24" max="24" width="31.42578125" bestFit="1" customWidth="1"/>
    <col min="25" max="25" width="31.28515625" bestFit="1" customWidth="1"/>
    <col min="26" max="26" width="34.85546875" bestFit="1" customWidth="1"/>
    <col min="27" max="27" width="35.140625" bestFit="1" customWidth="1"/>
    <col min="28" max="28" width="25.7109375" bestFit="1" customWidth="1"/>
    <col min="29" max="29" width="27.85546875" bestFit="1" customWidth="1"/>
    <col min="30" max="30" width="33.7109375" bestFit="1" customWidth="1"/>
    <col min="31" max="31" width="33.7109375" customWidth="1"/>
    <col min="32" max="32" width="28.5703125" bestFit="1" customWidth="1"/>
    <col min="33" max="33" width="28.28515625" bestFit="1" customWidth="1"/>
    <col min="34" max="34" width="28.28515625" customWidth="1"/>
    <col min="35" max="35" width="34.28515625" bestFit="1" customWidth="1"/>
    <col min="36" max="36" width="18.5703125" bestFit="1" customWidth="1"/>
  </cols>
  <sheetData>
    <row r="1" spans="1:36" x14ac:dyDescent="0.25">
      <c r="A1" s="2" t="s">
        <v>42</v>
      </c>
      <c r="B1" s="2" t="s">
        <v>41</v>
      </c>
      <c r="C1" s="2" t="s">
        <v>0</v>
      </c>
      <c r="D1" s="2" t="s">
        <v>33</v>
      </c>
      <c r="E1" s="2" t="s">
        <v>6</v>
      </c>
      <c r="F1" s="2" t="s">
        <v>7</v>
      </c>
      <c r="G1" s="2" t="s">
        <v>32</v>
      </c>
      <c r="H1" s="2" t="s">
        <v>29</v>
      </c>
      <c r="I1" s="2" t="s">
        <v>44</v>
      </c>
      <c r="J1" s="2" t="s">
        <v>46</v>
      </c>
      <c r="K1" s="2" t="s">
        <v>30</v>
      </c>
      <c r="L1" s="2" t="s">
        <v>87</v>
      </c>
      <c r="M1" s="2" t="s">
        <v>31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1" t="s">
        <v>8</v>
      </c>
      <c r="T1" s="2" t="s">
        <v>9</v>
      </c>
      <c r="U1" s="1" t="s">
        <v>10</v>
      </c>
      <c r="V1" s="2" t="s">
        <v>11</v>
      </c>
      <c r="W1" s="1" t="s">
        <v>12</v>
      </c>
      <c r="X1" s="2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22</v>
      </c>
      <c r="AF1" s="1" t="s">
        <v>21</v>
      </c>
      <c r="AG1" s="1" t="s">
        <v>20</v>
      </c>
      <c r="AH1" s="1" t="s">
        <v>88</v>
      </c>
      <c r="AI1" s="1" t="s">
        <v>23</v>
      </c>
    </row>
    <row r="2" spans="1:36" ht="15" customHeight="1" x14ac:dyDescent="0.25">
      <c r="A2" s="1" t="s">
        <v>90</v>
      </c>
      <c r="B2" s="1">
        <v>2018</v>
      </c>
      <c r="C2" s="1" t="s">
        <v>93</v>
      </c>
      <c r="D2" s="1" t="s">
        <v>51</v>
      </c>
      <c r="E2" s="1">
        <v>75621.824592582299</v>
      </c>
      <c r="F2" s="1" t="s">
        <v>34</v>
      </c>
      <c r="G2" s="1" t="s">
        <v>120</v>
      </c>
      <c r="H2" s="1" t="e" vm="1">
        <v>#VALUE!</v>
      </c>
      <c r="I2" s="1" t="s">
        <v>45</v>
      </c>
      <c r="J2" s="1" t="s">
        <v>34</v>
      </c>
      <c r="K2" s="1">
        <v>5</v>
      </c>
      <c r="L2" s="8">
        <f>PI()*(Tabella2[[#This Row],[Diameter (mm)]]/2)^2</f>
        <v>19.634954084936208</v>
      </c>
      <c r="M2" s="8">
        <f>(PI()*Tabella2[[#This Row],[Diameter (mm)]]^4)/32</f>
        <v>61.359231515425648</v>
      </c>
      <c r="N2" s="1" t="s">
        <v>35</v>
      </c>
      <c r="O2" s="1" t="s">
        <v>35</v>
      </c>
      <c r="P2" s="1" t="s">
        <v>35</v>
      </c>
      <c r="Q2" s="1">
        <v>-1</v>
      </c>
      <c r="R2" s="1" t="s">
        <v>35</v>
      </c>
      <c r="S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" s="1" t="s">
        <v>35</v>
      </c>
      <c r="U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" s="1">
        <v>481.88355163050898</v>
      </c>
      <c r="W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" s="7" t="s">
        <v>35</v>
      </c>
      <c r="Y2" s="7" t="str">
        <f>Tabella2[[#This Row],[Mean RADIAL stress  (MPa)]]</f>
        <v>Null</v>
      </c>
      <c r="Z2" s="7" t="str">
        <f>Tabella2[[#This Row],[Amplitute RADIAL stress  (MPa)]]</f>
        <v>Null</v>
      </c>
      <c r="AA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" s="8">
        <f>IF( AND(ISNUMBER(Tabella2[[#This Row],[Mean AXIAL stress  (MPa)]]), ISNUMBER(Tabella2[[#This Row],[Area (mm^2)]])), Tabella2[[#This Row],[Mean AXIAL stress  (MPa)]]*Tabella2[[#This Row],[Area (mm^2)]], "Null")</f>
        <v>0</v>
      </c>
      <c r="AC2" s="8">
        <f>IF( AND(ISNUMBER(Tabella2[[#This Row],[Amplitute AXIAL stress  (MPa)]]), ISNUMBER(Tabella2[[#This Row],[Area (mm^2)]])), Tabella2[[#This Row],[Amplitute AXIAL stress  (MPa)]]*Tabella2[[#This Row],[Area (mm^2)]],"Null")</f>
        <v>9461.7614105510311</v>
      </c>
      <c r="AD2" s="8">
        <f>IF( AND(ISNUMBER(Tabella2[[#This Row],[Amplitude AXIAL force (N)]]), ISNUMBER(Tabella2[[#This Row],[Mean AXIAL force (N)]])), Tabella2[[#This Row],[Amplitude AXIAL force (N)]]+Tabella2[[#This Row],[Mean AXIAL force (N)]],"Null")</f>
        <v>9461.7614105510311</v>
      </c>
      <c r="AE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481.88355163050898</v>
      </c>
      <c r="AI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2" s="1"/>
    </row>
    <row r="3" spans="1:36" x14ac:dyDescent="0.25">
      <c r="A3" s="1" t="s">
        <v>90</v>
      </c>
      <c r="B3" s="1">
        <v>2018</v>
      </c>
      <c r="C3" s="1" t="s">
        <v>93</v>
      </c>
      <c r="D3" s="1" t="s">
        <v>52</v>
      </c>
      <c r="E3" s="1">
        <v>138257.954633599</v>
      </c>
      <c r="F3" s="1" t="s">
        <v>34</v>
      </c>
      <c r="G3" s="1" t="s">
        <v>120</v>
      </c>
      <c r="H3" s="1" t="e" vm="1">
        <v>#VALUE!</v>
      </c>
      <c r="I3" s="1" t="s">
        <v>45</v>
      </c>
      <c r="J3" s="1" t="s">
        <v>34</v>
      </c>
      <c r="K3" s="1">
        <v>5</v>
      </c>
      <c r="L3" s="8">
        <f>PI()*(Tabella2[[#This Row],[Diameter (mm)]]/2)^2</f>
        <v>19.634954084936208</v>
      </c>
      <c r="M3" s="8">
        <f>(PI()*Tabella2[[#This Row],[Diameter (mm)]]^4)/32</f>
        <v>61.359231515425648</v>
      </c>
      <c r="N3" s="1" t="s">
        <v>35</v>
      </c>
      <c r="O3" s="1" t="s">
        <v>35</v>
      </c>
      <c r="P3" s="1" t="s">
        <v>35</v>
      </c>
      <c r="Q3" s="1">
        <v>-1</v>
      </c>
      <c r="R3" s="1" t="s">
        <v>35</v>
      </c>
      <c r="S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" s="1" t="s">
        <v>35</v>
      </c>
      <c r="U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" s="1">
        <v>421.52816054749201</v>
      </c>
      <c r="W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" s="7" t="s">
        <v>35</v>
      </c>
      <c r="Y3" s="7" t="str">
        <f>Tabella2[[#This Row],[Mean RADIAL stress  (MPa)]]</f>
        <v>Null</v>
      </c>
      <c r="Z3" s="7" t="str">
        <f>Tabella2[[#This Row],[Amplitute RADIAL stress  (MPa)]]</f>
        <v>Null</v>
      </c>
      <c r="AA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" s="8">
        <f>IF( AND(ISNUMBER(Tabella2[[#This Row],[Mean AXIAL stress  (MPa)]]), ISNUMBER(Tabella2[[#This Row],[Area (mm^2)]])), Tabella2[[#This Row],[Mean AXIAL stress  (MPa)]]*Tabella2[[#This Row],[Area (mm^2)]], "Null")</f>
        <v>0</v>
      </c>
      <c r="AC3" s="8">
        <f>IF( AND(ISNUMBER(Tabella2[[#This Row],[Amplitute AXIAL stress  (MPa)]]), ISNUMBER(Tabella2[[#This Row],[Area (mm^2)]])), Tabella2[[#This Row],[Amplitute AXIAL stress  (MPa)]]*Tabella2[[#This Row],[Area (mm^2)]],"Null")</f>
        <v>8276.6860778576247</v>
      </c>
      <c r="AD3" s="8">
        <f>IF( AND(ISNUMBER(Tabella2[[#This Row],[Amplitude AXIAL force (N)]]), ISNUMBER(Tabella2[[#This Row],[Mean AXIAL force (N)]])), Tabella2[[#This Row],[Amplitude AXIAL force (N)]]+Tabella2[[#This Row],[Mean AXIAL force (N)]],"Null")</f>
        <v>8276.6860778576247</v>
      </c>
      <c r="AE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421.52816054749201</v>
      </c>
      <c r="AI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3" s="1"/>
    </row>
    <row r="4" spans="1:36" x14ac:dyDescent="0.25">
      <c r="A4" s="1" t="s">
        <v>90</v>
      </c>
      <c r="B4" s="1">
        <v>2018</v>
      </c>
      <c r="C4" s="1" t="s">
        <v>93</v>
      </c>
      <c r="D4" s="1" t="s">
        <v>53</v>
      </c>
      <c r="E4" s="1">
        <v>159701.09462093699</v>
      </c>
      <c r="F4" s="1" t="s">
        <v>34</v>
      </c>
      <c r="G4" s="1" t="s">
        <v>120</v>
      </c>
      <c r="H4" s="1" t="e" vm="1">
        <v>#VALUE!</v>
      </c>
      <c r="I4" s="1" t="s">
        <v>45</v>
      </c>
      <c r="J4" s="1" t="s">
        <v>34</v>
      </c>
      <c r="K4" s="1">
        <v>5</v>
      </c>
      <c r="L4" s="8">
        <f>PI()*(Tabella2[[#This Row],[Diameter (mm)]]/2)^2</f>
        <v>19.634954084936208</v>
      </c>
      <c r="M4" s="8">
        <f>(PI()*Tabella2[[#This Row],[Diameter (mm)]]^4)/32</f>
        <v>61.359231515425648</v>
      </c>
      <c r="N4" s="1" t="s">
        <v>35</v>
      </c>
      <c r="O4" s="1" t="s">
        <v>35</v>
      </c>
      <c r="P4" s="1" t="s">
        <v>35</v>
      </c>
      <c r="Q4" s="1">
        <v>-1</v>
      </c>
      <c r="R4" s="1" t="s">
        <v>35</v>
      </c>
      <c r="S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" s="1" t="s">
        <v>35</v>
      </c>
      <c r="U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" s="1">
        <v>451.62366557506101</v>
      </c>
      <c r="W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" s="7" t="s">
        <v>35</v>
      </c>
      <c r="Y4" s="7" t="str">
        <f>Tabella2[[#This Row],[Mean RADIAL stress  (MPa)]]</f>
        <v>Null</v>
      </c>
      <c r="Z4" s="7" t="str">
        <f>Tabella2[[#This Row],[Amplitute RADIAL stress  (MPa)]]</f>
        <v>Null</v>
      </c>
      <c r="AA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" s="8">
        <f>IF( AND(ISNUMBER(Tabella2[[#This Row],[Mean AXIAL stress  (MPa)]]), ISNUMBER(Tabella2[[#This Row],[Area (mm^2)]])), Tabella2[[#This Row],[Mean AXIAL stress  (MPa)]]*Tabella2[[#This Row],[Area (mm^2)]], "Null")</f>
        <v>0</v>
      </c>
      <c r="AC4" s="8">
        <f>IF( AND(ISNUMBER(Tabella2[[#This Row],[Amplitute AXIAL stress  (MPa)]]), ISNUMBER(Tabella2[[#This Row],[Area (mm^2)]])), Tabella2[[#This Row],[Amplitute AXIAL stress  (MPa)]]*Tabella2[[#This Row],[Area (mm^2)]],"Null")</f>
        <v>8867.6099372369081</v>
      </c>
      <c r="AD4" s="8">
        <f>IF( AND(ISNUMBER(Tabella2[[#This Row],[Amplitude AXIAL force (N)]]), ISNUMBER(Tabella2[[#This Row],[Mean AXIAL force (N)]])), Tabella2[[#This Row],[Amplitude AXIAL force (N)]]+Tabella2[[#This Row],[Mean AXIAL force (N)]],"Null")</f>
        <v>8867.6099372369081</v>
      </c>
      <c r="AE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451.62366557506101</v>
      </c>
      <c r="AI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4" s="1"/>
    </row>
    <row r="5" spans="1:36" x14ac:dyDescent="0.25">
      <c r="A5" s="1" t="s">
        <v>90</v>
      </c>
      <c r="B5" s="1">
        <v>2018</v>
      </c>
      <c r="C5" s="1" t="s">
        <v>93</v>
      </c>
      <c r="D5" s="1" t="s">
        <v>54</v>
      </c>
      <c r="E5" s="1">
        <v>184793.617935077</v>
      </c>
      <c r="F5" s="1" t="s">
        <v>34</v>
      </c>
      <c r="G5" s="1" t="s">
        <v>120</v>
      </c>
      <c r="H5" s="1" t="e" vm="1">
        <v>#VALUE!</v>
      </c>
      <c r="I5" s="1" t="s">
        <v>45</v>
      </c>
      <c r="J5" s="1" t="s">
        <v>34</v>
      </c>
      <c r="K5" s="1">
        <v>5</v>
      </c>
      <c r="L5" s="8">
        <f>PI()*(Tabella2[[#This Row],[Diameter (mm)]]/2)^2</f>
        <v>19.634954084936208</v>
      </c>
      <c r="M5" s="8">
        <f>(PI()*Tabella2[[#This Row],[Diameter (mm)]]^4)/32</f>
        <v>61.359231515425648</v>
      </c>
      <c r="N5" s="1" t="s">
        <v>35</v>
      </c>
      <c r="O5" s="1" t="s">
        <v>35</v>
      </c>
      <c r="P5" s="1" t="s">
        <v>35</v>
      </c>
      <c r="Q5" s="1">
        <v>-1</v>
      </c>
      <c r="R5" s="1" t="s">
        <v>35</v>
      </c>
      <c r="S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" s="1" t="s">
        <v>35</v>
      </c>
      <c r="U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" s="1">
        <v>451.67293992397703</v>
      </c>
      <c r="W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" s="7" t="s">
        <v>35</v>
      </c>
      <c r="Y5" s="7" t="str">
        <f>Tabella2[[#This Row],[Mean RADIAL stress  (MPa)]]</f>
        <v>Null</v>
      </c>
      <c r="Z5" s="7" t="str">
        <f>Tabella2[[#This Row],[Amplitute RADIAL stress  (MPa)]]</f>
        <v>Null</v>
      </c>
      <c r="AA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" s="8">
        <f>IF( AND(ISNUMBER(Tabella2[[#This Row],[Mean AXIAL stress  (MPa)]]), ISNUMBER(Tabella2[[#This Row],[Area (mm^2)]])), Tabella2[[#This Row],[Mean AXIAL stress  (MPa)]]*Tabella2[[#This Row],[Area (mm^2)]], "Null")</f>
        <v>0</v>
      </c>
      <c r="AC5" s="8">
        <f>IF( AND(ISNUMBER(Tabella2[[#This Row],[Amplitute AXIAL stress  (MPa)]]), ISNUMBER(Tabella2[[#This Row],[Area (mm^2)]])), Tabella2[[#This Row],[Amplitute AXIAL stress  (MPa)]]*Tabella2[[#This Row],[Area (mm^2)]],"Null")</f>
        <v>8868.5774368154398</v>
      </c>
      <c r="AD5" s="8">
        <f>IF( AND(ISNUMBER(Tabella2[[#This Row],[Amplitude AXIAL force (N)]]), ISNUMBER(Tabella2[[#This Row],[Mean AXIAL force (N)]])), Tabella2[[#This Row],[Amplitude AXIAL force (N)]]+Tabella2[[#This Row],[Mean AXIAL force (N)]],"Null")</f>
        <v>8868.5774368154398</v>
      </c>
      <c r="AE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451.67293992397703</v>
      </c>
      <c r="AI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5" s="1"/>
    </row>
    <row r="6" spans="1:36" x14ac:dyDescent="0.25">
      <c r="A6" s="1" t="s">
        <v>90</v>
      </c>
      <c r="B6" s="1">
        <v>2018</v>
      </c>
      <c r="C6" s="1" t="s">
        <v>93</v>
      </c>
      <c r="D6" s="1" t="s">
        <v>55</v>
      </c>
      <c r="E6" s="1">
        <v>197176.63296379699</v>
      </c>
      <c r="F6" s="1" t="s">
        <v>34</v>
      </c>
      <c r="G6" s="1" t="s">
        <v>120</v>
      </c>
      <c r="H6" s="1" t="e" vm="1">
        <v>#VALUE!</v>
      </c>
      <c r="I6" s="1" t="s">
        <v>45</v>
      </c>
      <c r="J6" s="1" t="s">
        <v>34</v>
      </c>
      <c r="K6" s="1">
        <v>5</v>
      </c>
      <c r="L6" s="8">
        <f>PI()*(Tabella2[[#This Row],[Diameter (mm)]]/2)^2</f>
        <v>19.634954084936208</v>
      </c>
      <c r="M6" s="8">
        <f>(PI()*Tabella2[[#This Row],[Diameter (mm)]]^4)/32</f>
        <v>61.359231515425648</v>
      </c>
      <c r="N6" s="1" t="s">
        <v>35</v>
      </c>
      <c r="O6" s="1" t="s">
        <v>35</v>
      </c>
      <c r="P6" s="1" t="s">
        <v>35</v>
      </c>
      <c r="Q6" s="1">
        <v>-1</v>
      </c>
      <c r="R6" s="1" t="s">
        <v>35</v>
      </c>
      <c r="S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" s="1" t="s">
        <v>35</v>
      </c>
      <c r="U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" s="1">
        <v>451.69484136022498</v>
      </c>
      <c r="W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" s="7" t="s">
        <v>35</v>
      </c>
      <c r="Y6" s="7" t="str">
        <f>Tabella2[[#This Row],[Mean RADIAL stress  (MPa)]]</f>
        <v>Null</v>
      </c>
      <c r="Z6" s="7" t="str">
        <f>Tabella2[[#This Row],[Amplitute RADIAL stress  (MPa)]]</f>
        <v>Null</v>
      </c>
      <c r="AA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" s="8">
        <f>IF( AND(ISNUMBER(Tabella2[[#This Row],[Mean AXIAL stress  (MPa)]]), ISNUMBER(Tabella2[[#This Row],[Area (mm^2)]])), Tabella2[[#This Row],[Mean AXIAL stress  (MPa)]]*Tabella2[[#This Row],[Area (mm^2)]], "Null")</f>
        <v>0</v>
      </c>
      <c r="AC6" s="8">
        <f>IF( AND(ISNUMBER(Tabella2[[#This Row],[Amplitute AXIAL stress  (MPa)]]), ISNUMBER(Tabella2[[#This Row],[Area (mm^2)]])), Tabella2[[#This Row],[Amplitute AXIAL stress  (MPa)]]*Tabella2[[#This Row],[Area (mm^2)]],"Null")</f>
        <v>8869.0074705105617</v>
      </c>
      <c r="AD6" s="8">
        <f>IF( AND(ISNUMBER(Tabella2[[#This Row],[Amplitude AXIAL force (N)]]), ISNUMBER(Tabella2[[#This Row],[Mean AXIAL force (N)]])), Tabella2[[#This Row],[Amplitude AXIAL force (N)]]+Tabella2[[#This Row],[Mean AXIAL force (N)]],"Null")</f>
        <v>8869.0074705105617</v>
      </c>
      <c r="AE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451.69484136022498</v>
      </c>
      <c r="AI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6" s="1"/>
    </row>
    <row r="7" spans="1:36" x14ac:dyDescent="0.25">
      <c r="A7" s="1" t="s">
        <v>90</v>
      </c>
      <c r="B7" s="1">
        <v>2018</v>
      </c>
      <c r="C7" s="1" t="s">
        <v>93</v>
      </c>
      <c r="D7" s="1" t="s">
        <v>56</v>
      </c>
      <c r="E7" s="1">
        <v>228157.38028673301</v>
      </c>
      <c r="F7" s="1" t="s">
        <v>34</v>
      </c>
      <c r="G7" s="1" t="s">
        <v>120</v>
      </c>
      <c r="H7" s="1" t="e" vm="1">
        <v>#VALUE!</v>
      </c>
      <c r="I7" s="1" t="s">
        <v>45</v>
      </c>
      <c r="J7" s="1" t="s">
        <v>34</v>
      </c>
      <c r="K7" s="1">
        <v>5</v>
      </c>
      <c r="L7" s="8">
        <f>PI()*(Tabella2[[#This Row],[Diameter (mm)]]/2)^2</f>
        <v>19.634954084936208</v>
      </c>
      <c r="M7" s="8">
        <f>(PI()*Tabella2[[#This Row],[Diameter (mm)]]^4)/32</f>
        <v>61.359231515425648</v>
      </c>
      <c r="N7" s="1" t="s">
        <v>35</v>
      </c>
      <c r="O7" s="1" t="s">
        <v>35</v>
      </c>
      <c r="P7" s="1" t="s">
        <v>35</v>
      </c>
      <c r="Q7" s="1">
        <v>-1</v>
      </c>
      <c r="R7" s="1" t="s">
        <v>35</v>
      </c>
      <c r="S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" s="1" t="s">
        <v>35</v>
      </c>
      <c r="U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7" s="1">
        <v>451.74412347476698</v>
      </c>
      <c r="W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" s="7" t="s">
        <v>35</v>
      </c>
      <c r="Y7" s="7" t="str">
        <f>Tabella2[[#This Row],[Mean RADIAL stress  (MPa)]]</f>
        <v>Null</v>
      </c>
      <c r="Z7" s="7" t="str">
        <f>Tabella2[[#This Row],[Amplitute RADIAL stress  (MPa)]]</f>
        <v>Null</v>
      </c>
      <c r="AA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" s="8">
        <f>IF( AND(ISNUMBER(Tabella2[[#This Row],[Mean AXIAL stress  (MPa)]]), ISNUMBER(Tabella2[[#This Row],[Area (mm^2)]])), Tabella2[[#This Row],[Mean AXIAL stress  (MPa)]]*Tabella2[[#This Row],[Area (mm^2)]], "Null")</f>
        <v>0</v>
      </c>
      <c r="AC7" s="8">
        <f>IF( AND(ISNUMBER(Tabella2[[#This Row],[Amplitute AXIAL stress  (MPa)]]), ISNUMBER(Tabella2[[#This Row],[Area (mm^2)]])), Tabella2[[#This Row],[Amplitute AXIAL stress  (MPa)]]*Tabella2[[#This Row],[Area (mm^2)]],"Null")</f>
        <v>8869.9751225668024</v>
      </c>
      <c r="AD7" s="8">
        <f>IF( AND(ISNUMBER(Tabella2[[#This Row],[Amplitude AXIAL force (N)]]), ISNUMBER(Tabella2[[#This Row],[Mean AXIAL force (N)]])), Tabella2[[#This Row],[Amplitude AXIAL force (N)]]+Tabella2[[#This Row],[Mean AXIAL force (N)]],"Null")</f>
        <v>8869.9751225668024</v>
      </c>
      <c r="AE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451.74412347476698</v>
      </c>
      <c r="AI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7" s="1"/>
    </row>
    <row r="8" spans="1:36" ht="14.45" customHeight="1" x14ac:dyDescent="0.25">
      <c r="A8" s="1" t="s">
        <v>90</v>
      </c>
      <c r="B8" s="1">
        <v>2018</v>
      </c>
      <c r="C8" s="1" t="s">
        <v>93</v>
      </c>
      <c r="D8" s="1" t="s">
        <v>57</v>
      </c>
      <c r="E8" s="1">
        <v>258114.09915933901</v>
      </c>
      <c r="F8" s="1" t="s">
        <v>34</v>
      </c>
      <c r="G8" s="1" t="s">
        <v>120</v>
      </c>
      <c r="H8" s="1" t="e" vm="1">
        <v>#VALUE!</v>
      </c>
      <c r="I8" s="1" t="s">
        <v>45</v>
      </c>
      <c r="J8" s="1" t="s">
        <v>34</v>
      </c>
      <c r="K8" s="1">
        <v>5</v>
      </c>
      <c r="L8" s="8">
        <f>PI()*(Tabella2[[#This Row],[Diameter (mm)]]/2)^2</f>
        <v>19.634954084936208</v>
      </c>
      <c r="M8" s="8">
        <f>(PI()*Tabella2[[#This Row],[Diameter (mm)]]^4)/32</f>
        <v>61.359231515425648</v>
      </c>
      <c r="N8" s="1" t="s">
        <v>35</v>
      </c>
      <c r="O8" s="1" t="s">
        <v>35</v>
      </c>
      <c r="P8" s="1" t="s">
        <v>35</v>
      </c>
      <c r="Q8" s="1">
        <v>-1</v>
      </c>
      <c r="R8" s="1" t="s">
        <v>35</v>
      </c>
      <c r="S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" s="1" t="s">
        <v>35</v>
      </c>
      <c r="U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8" s="1">
        <v>421.72493407561802</v>
      </c>
      <c r="W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" s="7" t="s">
        <v>35</v>
      </c>
      <c r="Y8" s="7" t="str">
        <f>Tabella2[[#This Row],[Mean RADIAL stress  (MPa)]]</f>
        <v>Null</v>
      </c>
      <c r="Z8" s="7" t="str">
        <f>Tabella2[[#This Row],[Amplitute RADIAL stress  (MPa)]]</f>
        <v>Null</v>
      </c>
      <c r="AA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" s="8">
        <f>IF( AND(ISNUMBER(Tabella2[[#This Row],[Mean AXIAL stress  (MPa)]]), ISNUMBER(Tabella2[[#This Row],[Area (mm^2)]])), Tabella2[[#This Row],[Mean AXIAL stress  (MPa)]]*Tabella2[[#This Row],[Area (mm^2)]], "Null")</f>
        <v>0</v>
      </c>
      <c r="AC8" s="8">
        <f>IF( AND(ISNUMBER(Tabella2[[#This Row],[Amplitute AXIAL stress  (MPa)]]), ISNUMBER(Tabella2[[#This Row],[Area (mm^2)]])), Tabella2[[#This Row],[Amplitute AXIAL stress  (MPa)]]*Tabella2[[#This Row],[Area (mm^2)]],"Null")</f>
        <v>8280.5497170475082</v>
      </c>
      <c r="AD8" s="8">
        <f>IF( AND(ISNUMBER(Tabella2[[#This Row],[Amplitude AXIAL force (N)]]), ISNUMBER(Tabella2[[#This Row],[Mean AXIAL force (N)]])), Tabella2[[#This Row],[Amplitude AXIAL force (N)]]+Tabella2[[#This Row],[Mean AXIAL force (N)]],"Null")</f>
        <v>8280.5497170475082</v>
      </c>
      <c r="AE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421.72493407561802</v>
      </c>
      <c r="AI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8" s="1"/>
    </row>
    <row r="9" spans="1:36" x14ac:dyDescent="0.25">
      <c r="A9" s="1" t="s">
        <v>90</v>
      </c>
      <c r="B9" s="1">
        <v>2018</v>
      </c>
      <c r="C9" s="1" t="s">
        <v>93</v>
      </c>
      <c r="D9" s="1" t="s">
        <v>58</v>
      </c>
      <c r="E9" s="1">
        <v>345627.22485078598</v>
      </c>
      <c r="F9" s="1" t="s">
        <v>34</v>
      </c>
      <c r="G9" s="1" t="s">
        <v>120</v>
      </c>
      <c r="H9" s="1" t="e" vm="1">
        <v>#VALUE!</v>
      </c>
      <c r="I9" s="1" t="s">
        <v>45</v>
      </c>
      <c r="J9" s="1" t="s">
        <v>34</v>
      </c>
      <c r="K9" s="1">
        <v>5</v>
      </c>
      <c r="L9" s="8">
        <f>PI()*(Tabella2[[#This Row],[Diameter (mm)]]/2)^2</f>
        <v>19.634954084936208</v>
      </c>
      <c r="M9" s="8">
        <f>(PI()*Tabella2[[#This Row],[Diameter (mm)]]^4)/32</f>
        <v>61.359231515425648</v>
      </c>
      <c r="N9" s="1" t="s">
        <v>35</v>
      </c>
      <c r="O9" s="1" t="s">
        <v>35</v>
      </c>
      <c r="P9" s="1" t="s">
        <v>35</v>
      </c>
      <c r="Q9" s="1">
        <v>-1</v>
      </c>
      <c r="R9" s="1" t="s">
        <v>35</v>
      </c>
      <c r="S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" s="1" t="s">
        <v>35</v>
      </c>
      <c r="U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" s="1">
        <v>420.36728064972903</v>
      </c>
      <c r="W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9" s="7" t="s">
        <v>35</v>
      </c>
      <c r="Y9" s="7" t="str">
        <f>Tabella2[[#This Row],[Mean RADIAL stress  (MPa)]]</f>
        <v>Null</v>
      </c>
      <c r="Z9" s="7" t="str">
        <f>Tabella2[[#This Row],[Amplitute RADIAL stress  (MPa)]]</f>
        <v>Null</v>
      </c>
      <c r="AA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" s="8">
        <f>IF( AND(ISNUMBER(Tabella2[[#This Row],[Mean AXIAL stress  (MPa)]]), ISNUMBER(Tabella2[[#This Row],[Area (mm^2)]])), Tabella2[[#This Row],[Mean AXIAL stress  (MPa)]]*Tabella2[[#This Row],[Area (mm^2)]], "Null")</f>
        <v>0</v>
      </c>
      <c r="AC9" s="8">
        <f>IF( AND(ISNUMBER(Tabella2[[#This Row],[Amplitute AXIAL stress  (MPa)]]), ISNUMBER(Tabella2[[#This Row],[Area (mm^2)]])), Tabella2[[#This Row],[Amplitute AXIAL stress  (MPa)]]*Tabella2[[#This Row],[Area (mm^2)]],"Null")</f>
        <v>8253.8922543669214</v>
      </c>
      <c r="AD9" s="8">
        <f>IF( AND(ISNUMBER(Tabella2[[#This Row],[Amplitude AXIAL force (N)]]), ISNUMBER(Tabella2[[#This Row],[Mean AXIAL force (N)]])), Tabella2[[#This Row],[Amplitude AXIAL force (N)]]+Tabella2[[#This Row],[Mean AXIAL force (N)]],"Null")</f>
        <v>8253.8922543669214</v>
      </c>
      <c r="AE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420.36728064972903</v>
      </c>
      <c r="AI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9" s="1"/>
    </row>
    <row r="10" spans="1:36" x14ac:dyDescent="0.25">
      <c r="A10" s="1" t="s">
        <v>90</v>
      </c>
      <c r="B10" s="1">
        <v>2018</v>
      </c>
      <c r="C10" s="1" t="s">
        <v>93</v>
      </c>
      <c r="D10" s="1" t="s">
        <v>59</v>
      </c>
      <c r="E10" s="1">
        <v>401179.14207474398</v>
      </c>
      <c r="F10" s="1" t="s">
        <v>34</v>
      </c>
      <c r="G10" s="1" t="s">
        <v>120</v>
      </c>
      <c r="H10" s="1" t="e" vm="1">
        <v>#VALUE!</v>
      </c>
      <c r="I10" s="1" t="s">
        <v>45</v>
      </c>
      <c r="J10" s="1" t="s">
        <v>34</v>
      </c>
      <c r="K10" s="1">
        <v>5</v>
      </c>
      <c r="L10" s="8">
        <f>PI()*(Tabella2[[#This Row],[Diameter (mm)]]/2)^2</f>
        <v>19.634954084936208</v>
      </c>
      <c r="M10" s="8">
        <f>(PI()*Tabella2[[#This Row],[Diameter (mm)]]^4)/32</f>
        <v>61.359231515425648</v>
      </c>
      <c r="N10" s="1" t="s">
        <v>35</v>
      </c>
      <c r="O10" s="1" t="s">
        <v>35</v>
      </c>
      <c r="P10" s="1" t="s">
        <v>35</v>
      </c>
      <c r="Q10" s="1">
        <v>-1</v>
      </c>
      <c r="R10" s="1" t="s">
        <v>35</v>
      </c>
      <c r="S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" s="1" t="s">
        <v>35</v>
      </c>
      <c r="U1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" s="1">
        <v>372.04799101680197</v>
      </c>
      <c r="W1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0" s="7" t="s">
        <v>35</v>
      </c>
      <c r="Y10" s="7" t="str">
        <f>Tabella2[[#This Row],[Mean RADIAL stress  (MPa)]]</f>
        <v>Null</v>
      </c>
      <c r="Z10" s="7" t="str">
        <f>Tabella2[[#This Row],[Amplitute RADIAL stress  (MPa)]]</f>
        <v>Null</v>
      </c>
      <c r="AA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" s="8">
        <f>IF( AND(ISNUMBER(Tabella2[[#This Row],[Mean AXIAL stress  (MPa)]]), ISNUMBER(Tabella2[[#This Row],[Area (mm^2)]])), Tabella2[[#This Row],[Mean AXIAL stress  (MPa)]]*Tabella2[[#This Row],[Area (mm^2)]], "Null")</f>
        <v>0</v>
      </c>
      <c r="AC10" s="8">
        <f>IF( AND(ISNUMBER(Tabella2[[#This Row],[Amplitute AXIAL stress  (MPa)]]), ISNUMBER(Tabella2[[#This Row],[Area (mm^2)]])), Tabella2[[#This Row],[Amplitute AXIAL stress  (MPa)]]*Tabella2[[#This Row],[Area (mm^2)]],"Null")</f>
        <v>7305.1452210076659</v>
      </c>
      <c r="AD10" s="8">
        <f>IF( AND(ISNUMBER(Tabella2[[#This Row],[Amplitude AXIAL force (N)]]), ISNUMBER(Tabella2[[#This Row],[Mean AXIAL force (N)]])), Tabella2[[#This Row],[Amplitude AXIAL force (N)]]+Tabella2[[#This Row],[Mean AXIAL force (N)]],"Null")</f>
        <v>7305.1452210076659</v>
      </c>
      <c r="AE1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372.04799101680197</v>
      </c>
      <c r="AI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0" s="1"/>
    </row>
    <row r="11" spans="1:36" ht="15.6" customHeight="1" x14ac:dyDescent="0.25">
      <c r="A11" s="1" t="s">
        <v>90</v>
      </c>
      <c r="B11" s="1">
        <v>2018</v>
      </c>
      <c r="C11" s="1" t="s">
        <v>93</v>
      </c>
      <c r="D11" s="1" t="s">
        <v>60</v>
      </c>
      <c r="E11" s="1">
        <v>527793.89347280504</v>
      </c>
      <c r="F11" s="1" t="s">
        <v>34</v>
      </c>
      <c r="G11" s="1" t="s">
        <v>120</v>
      </c>
      <c r="H11" s="1" t="e" vm="1">
        <v>#VALUE!</v>
      </c>
      <c r="I11" s="1" t="s">
        <v>45</v>
      </c>
      <c r="J11" s="1" t="s">
        <v>34</v>
      </c>
      <c r="K11" s="1">
        <v>5</v>
      </c>
      <c r="L11" s="8">
        <f>PI()*(Tabella2[[#This Row],[Diameter (mm)]]/2)^2</f>
        <v>19.634954084936208</v>
      </c>
      <c r="M11" s="8">
        <f>(PI()*Tabella2[[#This Row],[Diameter (mm)]]^4)/32</f>
        <v>61.359231515425648</v>
      </c>
      <c r="N11" s="1" t="s">
        <v>35</v>
      </c>
      <c r="O11" s="1" t="s">
        <v>35</v>
      </c>
      <c r="P11" s="1" t="s">
        <v>35</v>
      </c>
      <c r="Q11" s="1">
        <v>-1</v>
      </c>
      <c r="R11" s="1" t="s">
        <v>35</v>
      </c>
      <c r="S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" s="1" t="s">
        <v>35</v>
      </c>
      <c r="U1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" s="1">
        <v>392.521153995193</v>
      </c>
      <c r="W1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" s="7" t="s">
        <v>35</v>
      </c>
      <c r="Y11" s="7" t="str">
        <f>Tabella2[[#This Row],[Mean RADIAL stress  (MPa)]]</f>
        <v>Null</v>
      </c>
      <c r="Z11" s="7" t="str">
        <f>Tabella2[[#This Row],[Amplitute RADIAL stress  (MPa)]]</f>
        <v>Null</v>
      </c>
      <c r="AA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" s="8">
        <f>IF( AND(ISNUMBER(Tabella2[[#This Row],[Mean AXIAL stress  (MPa)]]), ISNUMBER(Tabella2[[#This Row],[Area (mm^2)]])), Tabella2[[#This Row],[Mean AXIAL stress  (MPa)]]*Tabella2[[#This Row],[Area (mm^2)]], "Null")</f>
        <v>0</v>
      </c>
      <c r="AC11" s="8">
        <f>IF( AND(ISNUMBER(Tabella2[[#This Row],[Amplitute AXIAL stress  (MPa)]]), ISNUMBER(Tabella2[[#This Row],[Area (mm^2)]])), Tabella2[[#This Row],[Amplitute AXIAL stress  (MPa)]]*Tabella2[[#This Row],[Area (mm^2)]],"Null")</f>
        <v>7707.1348360617894</v>
      </c>
      <c r="AD11" s="8">
        <f>IF( AND(ISNUMBER(Tabella2[[#This Row],[Amplitude AXIAL force (N)]]), ISNUMBER(Tabella2[[#This Row],[Mean AXIAL force (N)]])), Tabella2[[#This Row],[Amplitude AXIAL force (N)]]+Tabella2[[#This Row],[Mean AXIAL force (N)]],"Null")</f>
        <v>7707.1348360617894</v>
      </c>
      <c r="AE1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392.521153995193</v>
      </c>
      <c r="AI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1" s="1"/>
    </row>
    <row r="12" spans="1:36" x14ac:dyDescent="0.25">
      <c r="A12" s="1" t="s">
        <v>90</v>
      </c>
      <c r="B12" s="1">
        <v>2018</v>
      </c>
      <c r="C12" s="1" t="s">
        <v>93</v>
      </c>
      <c r="D12" s="1" t="s">
        <v>61</v>
      </c>
      <c r="E12" s="1">
        <v>478318.07501176599</v>
      </c>
      <c r="F12" s="1" t="s">
        <v>34</v>
      </c>
      <c r="G12" s="1" t="s">
        <v>120</v>
      </c>
      <c r="H12" s="1" t="e" vm="1">
        <v>#VALUE!</v>
      </c>
      <c r="I12" s="1" t="s">
        <v>45</v>
      </c>
      <c r="J12" s="1" t="s">
        <v>34</v>
      </c>
      <c r="K12" s="1">
        <v>5</v>
      </c>
      <c r="L12" s="8">
        <f>PI()*(Tabella2[[#This Row],[Diameter (mm)]]/2)^2</f>
        <v>19.634954084936208</v>
      </c>
      <c r="M12" s="8">
        <f>(PI()*Tabella2[[#This Row],[Diameter (mm)]]^4)/32</f>
        <v>61.359231515425648</v>
      </c>
      <c r="N12" s="1" t="s">
        <v>35</v>
      </c>
      <c r="O12" s="1" t="s">
        <v>35</v>
      </c>
      <c r="P12" s="1" t="s">
        <v>35</v>
      </c>
      <c r="Q12" s="1">
        <v>-1</v>
      </c>
      <c r="R12" s="1" t="s">
        <v>35</v>
      </c>
      <c r="S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" s="1" t="s">
        <v>35</v>
      </c>
      <c r="U1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" s="1">
        <v>410.45754724606701</v>
      </c>
      <c r="W1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2" s="7" t="s">
        <v>35</v>
      </c>
      <c r="Y12" s="7" t="str">
        <f>Tabella2[[#This Row],[Mean RADIAL stress  (MPa)]]</f>
        <v>Null</v>
      </c>
      <c r="Z12" s="7" t="str">
        <f>Tabella2[[#This Row],[Amplitute RADIAL stress  (MPa)]]</f>
        <v>Null</v>
      </c>
      <c r="AA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" s="8">
        <f>IF( AND(ISNUMBER(Tabella2[[#This Row],[Mean AXIAL stress  (MPa)]]), ISNUMBER(Tabella2[[#This Row],[Area (mm^2)]])), Tabella2[[#This Row],[Mean AXIAL stress  (MPa)]]*Tabella2[[#This Row],[Area (mm^2)]], "Null")</f>
        <v>0</v>
      </c>
      <c r="AC12" s="8">
        <f>IF( AND(ISNUMBER(Tabella2[[#This Row],[Amplitute AXIAL stress  (MPa)]]), ISNUMBER(Tabella2[[#This Row],[Area (mm^2)]])), Tabella2[[#This Row],[Amplitute AXIAL stress  (MPa)]]*Tabella2[[#This Row],[Area (mm^2)]],"Null")</f>
        <v>8059.3150939920597</v>
      </c>
      <c r="AD12" s="8">
        <f>IF( AND(ISNUMBER(Tabella2[[#This Row],[Amplitude AXIAL force (N)]]), ISNUMBER(Tabella2[[#This Row],[Mean AXIAL force (N)]])), Tabella2[[#This Row],[Amplitude AXIAL force (N)]]+Tabella2[[#This Row],[Mean AXIAL force (N)]],"Null")</f>
        <v>8059.3150939920597</v>
      </c>
      <c r="AE1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410.45754724606701</v>
      </c>
      <c r="AI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2" s="1"/>
    </row>
    <row r="13" spans="1:36" x14ac:dyDescent="0.25">
      <c r="A13" s="1" t="s">
        <v>90</v>
      </c>
      <c r="B13" s="1">
        <v>2018</v>
      </c>
      <c r="C13" s="1" t="s">
        <v>93</v>
      </c>
      <c r="D13" s="1" t="s">
        <v>62</v>
      </c>
      <c r="E13" s="1">
        <v>645987.919165603</v>
      </c>
      <c r="F13" s="1" t="s">
        <v>34</v>
      </c>
      <c r="G13" s="1" t="s">
        <v>120</v>
      </c>
      <c r="H13" s="1" t="e" vm="1">
        <v>#VALUE!</v>
      </c>
      <c r="I13" s="1" t="s">
        <v>45</v>
      </c>
      <c r="J13" s="1" t="s">
        <v>34</v>
      </c>
      <c r="K13" s="1">
        <v>5</v>
      </c>
      <c r="L13" s="8">
        <f>PI()*(Tabella2[[#This Row],[Diameter (mm)]]/2)^2</f>
        <v>19.634954084936208</v>
      </c>
      <c r="M13" s="8">
        <f>(PI()*Tabella2[[#This Row],[Diameter (mm)]]^4)/32</f>
        <v>61.359231515425648</v>
      </c>
      <c r="N13" s="1" t="s">
        <v>35</v>
      </c>
      <c r="O13" s="1" t="s">
        <v>35</v>
      </c>
      <c r="P13" s="1" t="s">
        <v>35</v>
      </c>
      <c r="Q13" s="1">
        <v>-1</v>
      </c>
      <c r="R13" s="1" t="s">
        <v>35</v>
      </c>
      <c r="S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" s="1" t="s">
        <v>35</v>
      </c>
      <c r="U1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" s="1">
        <v>402.15625221348802</v>
      </c>
      <c r="W1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3" s="7" t="s">
        <v>35</v>
      </c>
      <c r="Y13" s="7" t="str">
        <f>Tabella2[[#This Row],[Mean RADIAL stress  (MPa)]]</f>
        <v>Null</v>
      </c>
      <c r="Z13" s="7" t="str">
        <f>Tabella2[[#This Row],[Amplitute RADIAL stress  (MPa)]]</f>
        <v>Null</v>
      </c>
      <c r="AA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" s="8">
        <f>IF( AND(ISNUMBER(Tabella2[[#This Row],[Mean AXIAL stress  (MPa)]]), ISNUMBER(Tabella2[[#This Row],[Area (mm^2)]])), Tabella2[[#This Row],[Mean AXIAL stress  (MPa)]]*Tabella2[[#This Row],[Area (mm^2)]], "Null")</f>
        <v>0</v>
      </c>
      <c r="AC13" s="8">
        <f>IF( AND(ISNUMBER(Tabella2[[#This Row],[Amplitute AXIAL stress  (MPa)]]), ISNUMBER(Tabella2[[#This Row],[Area (mm^2)]])), Tabella2[[#This Row],[Amplitute AXIAL stress  (MPa)]]*Tabella2[[#This Row],[Area (mm^2)]],"Null")</f>
        <v>7896.3195471818626</v>
      </c>
      <c r="AD13" s="8">
        <f>IF( AND(ISNUMBER(Tabella2[[#This Row],[Amplitude AXIAL force (N)]]), ISNUMBER(Tabella2[[#This Row],[Mean AXIAL force (N)]])), Tabella2[[#This Row],[Amplitude AXIAL force (N)]]+Tabella2[[#This Row],[Mean AXIAL force (N)]],"Null")</f>
        <v>7896.3195471818626</v>
      </c>
      <c r="AE1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402.15625221348802</v>
      </c>
      <c r="AI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3" s="1"/>
    </row>
    <row r="14" spans="1:36" x14ac:dyDescent="0.25">
      <c r="A14" s="1" t="s">
        <v>90</v>
      </c>
      <c r="B14" s="1">
        <v>2018</v>
      </c>
      <c r="C14" s="1" t="s">
        <v>93</v>
      </c>
      <c r="D14" s="1" t="s">
        <v>63</v>
      </c>
      <c r="E14" s="1">
        <v>1025519.29114769</v>
      </c>
      <c r="F14" s="1" t="s">
        <v>34</v>
      </c>
      <c r="G14" s="1" t="s">
        <v>120</v>
      </c>
      <c r="H14" s="1" t="e" vm="1">
        <v>#VALUE!</v>
      </c>
      <c r="I14" s="1" t="s">
        <v>45</v>
      </c>
      <c r="J14" s="1" t="s">
        <v>34</v>
      </c>
      <c r="K14" s="1">
        <v>5</v>
      </c>
      <c r="L14" s="8">
        <f>PI()*(Tabella2[[#This Row],[Diameter (mm)]]/2)^2</f>
        <v>19.634954084936208</v>
      </c>
      <c r="M14" s="8">
        <f>(PI()*Tabella2[[#This Row],[Diameter (mm)]]^4)/32</f>
        <v>61.359231515425648</v>
      </c>
      <c r="N14" s="1" t="s">
        <v>35</v>
      </c>
      <c r="O14" s="1" t="s">
        <v>35</v>
      </c>
      <c r="P14" s="1" t="s">
        <v>35</v>
      </c>
      <c r="Q14" s="1">
        <v>-1</v>
      </c>
      <c r="R14" s="1" t="s">
        <v>35</v>
      </c>
      <c r="S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" s="1" t="s">
        <v>35</v>
      </c>
      <c r="U1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" s="1">
        <v>401.603322460649</v>
      </c>
      <c r="W1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4" s="7" t="s">
        <v>35</v>
      </c>
      <c r="Y14" s="7" t="str">
        <f>Tabella2[[#This Row],[Mean RADIAL stress  (MPa)]]</f>
        <v>Null</v>
      </c>
      <c r="Z14" s="7" t="str">
        <f>Tabella2[[#This Row],[Amplitute RADIAL stress  (MPa)]]</f>
        <v>Null</v>
      </c>
      <c r="AA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" s="8">
        <f>IF( AND(ISNUMBER(Tabella2[[#This Row],[Mean AXIAL stress  (MPa)]]), ISNUMBER(Tabella2[[#This Row],[Area (mm^2)]])), Tabella2[[#This Row],[Mean AXIAL stress  (MPa)]]*Tabella2[[#This Row],[Area (mm^2)]], "Null")</f>
        <v>0</v>
      </c>
      <c r="AC14" s="8">
        <f>IF( AND(ISNUMBER(Tabella2[[#This Row],[Amplitute AXIAL stress  (MPa)]]), ISNUMBER(Tabella2[[#This Row],[Area (mm^2)]])), Tabella2[[#This Row],[Amplitute AXIAL stress  (MPa)]]*Tabella2[[#This Row],[Area (mm^2)]],"Null")</f>
        <v>7885.4627968726727</v>
      </c>
      <c r="AD14" s="8">
        <f>IF( AND(ISNUMBER(Tabella2[[#This Row],[Amplitude AXIAL force (N)]]), ISNUMBER(Tabella2[[#This Row],[Mean AXIAL force (N)]])), Tabella2[[#This Row],[Amplitude AXIAL force (N)]]+Tabella2[[#This Row],[Mean AXIAL force (N)]],"Null")</f>
        <v>7885.4627968726727</v>
      </c>
      <c r="AE1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401.603322460649</v>
      </c>
      <c r="AI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4" s="1"/>
    </row>
    <row r="15" spans="1:36" x14ac:dyDescent="0.25">
      <c r="A15" s="1" t="s">
        <v>90</v>
      </c>
      <c r="B15" s="1">
        <v>2018</v>
      </c>
      <c r="C15" s="1" t="s">
        <v>93</v>
      </c>
      <c r="D15" s="1" t="s">
        <v>65</v>
      </c>
      <c r="E15" s="1">
        <v>901940.44295126095</v>
      </c>
      <c r="F15" s="1" t="s">
        <v>34</v>
      </c>
      <c r="G15" s="1" t="s">
        <v>120</v>
      </c>
      <c r="H15" s="1" t="e" vm="1">
        <v>#VALUE!</v>
      </c>
      <c r="I15" s="1" t="s">
        <v>45</v>
      </c>
      <c r="J15" s="1" t="s">
        <v>34</v>
      </c>
      <c r="K15" s="1">
        <v>5</v>
      </c>
      <c r="L15" s="8">
        <f>PI()*(Tabella2[[#This Row],[Diameter (mm)]]/2)^2</f>
        <v>19.634954084936208</v>
      </c>
      <c r="M15" s="8">
        <f>(PI()*Tabella2[[#This Row],[Diameter (mm)]]^4)/32</f>
        <v>61.359231515425648</v>
      </c>
      <c r="N15" s="1" t="s">
        <v>35</v>
      </c>
      <c r="O15" s="1" t="s">
        <v>35</v>
      </c>
      <c r="P15" s="1" t="s">
        <v>35</v>
      </c>
      <c r="Q15" s="1">
        <v>-1</v>
      </c>
      <c r="R15" s="1" t="s">
        <v>35</v>
      </c>
      <c r="S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" s="1" t="s">
        <v>35</v>
      </c>
      <c r="U1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" s="1">
        <v>381.35385670645502</v>
      </c>
      <c r="W1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5" s="7" t="s">
        <v>35</v>
      </c>
      <c r="Y15" s="7" t="str">
        <f>Tabella2[[#This Row],[Mean RADIAL stress  (MPa)]]</f>
        <v>Null</v>
      </c>
      <c r="Z15" s="7" t="str">
        <f>Tabella2[[#This Row],[Amplitute RADIAL stress  (MPa)]]</f>
        <v>Null</v>
      </c>
      <c r="AA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" s="8">
        <f>IF( AND(ISNUMBER(Tabella2[[#This Row],[Mean AXIAL stress  (MPa)]]), ISNUMBER(Tabella2[[#This Row],[Area (mm^2)]])), Tabella2[[#This Row],[Mean AXIAL stress  (MPa)]]*Tabella2[[#This Row],[Area (mm^2)]], "Null")</f>
        <v>0</v>
      </c>
      <c r="AC15" s="8">
        <f>IF( AND(ISNUMBER(Tabella2[[#This Row],[Amplitute AXIAL stress  (MPa)]]), ISNUMBER(Tabella2[[#This Row],[Area (mm^2)]])), Tabella2[[#This Row],[Amplitute AXIAL stress  (MPa)]]*Tabella2[[#This Row],[Area (mm^2)]],"Null")</f>
        <v>7487.8654665445865</v>
      </c>
      <c r="AD15" s="8">
        <f>IF( AND(ISNUMBER(Tabella2[[#This Row],[Amplitude AXIAL force (N)]]), ISNUMBER(Tabella2[[#This Row],[Mean AXIAL force (N)]])), Tabella2[[#This Row],[Amplitude AXIAL force (N)]]+Tabella2[[#This Row],[Mean AXIAL force (N)]],"Null")</f>
        <v>7487.8654665445865</v>
      </c>
      <c r="AE1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381.35385670645502</v>
      </c>
      <c r="AI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5" s="1"/>
    </row>
    <row r="16" spans="1:36" x14ac:dyDescent="0.25">
      <c r="A16" s="1" t="s">
        <v>90</v>
      </c>
      <c r="B16" s="1">
        <v>2018</v>
      </c>
      <c r="C16" s="1" t="s">
        <v>93</v>
      </c>
      <c r="D16" s="1" t="s">
        <v>66</v>
      </c>
      <c r="E16" s="1">
        <v>1576842.7796910999</v>
      </c>
      <c r="F16" s="1" t="s">
        <v>34</v>
      </c>
      <c r="G16" s="1" t="s">
        <v>120</v>
      </c>
      <c r="H16" s="1" t="e" vm="1">
        <v>#VALUE!</v>
      </c>
      <c r="I16" s="1" t="s">
        <v>45</v>
      </c>
      <c r="J16" s="1" t="s">
        <v>34</v>
      </c>
      <c r="K16" s="1">
        <v>5</v>
      </c>
      <c r="L16" s="8">
        <f>PI()*(Tabella2[[#This Row],[Diameter (mm)]]/2)^2</f>
        <v>19.634954084936208</v>
      </c>
      <c r="M16" s="8">
        <f>(PI()*Tabella2[[#This Row],[Diameter (mm)]]^4)/32</f>
        <v>61.359231515425648</v>
      </c>
      <c r="N16" s="1" t="s">
        <v>35</v>
      </c>
      <c r="O16" s="1" t="s">
        <v>35</v>
      </c>
      <c r="P16" s="1" t="s">
        <v>35</v>
      </c>
      <c r="Q16" s="1">
        <v>-1</v>
      </c>
      <c r="R16" s="1" t="s">
        <v>35</v>
      </c>
      <c r="S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" s="1" t="s">
        <v>35</v>
      </c>
      <c r="U1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" s="1">
        <v>393.51926001945901</v>
      </c>
      <c r="W1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6" s="7" t="s">
        <v>35</v>
      </c>
      <c r="Y16" s="7" t="str">
        <f>Tabella2[[#This Row],[Mean RADIAL stress  (MPa)]]</f>
        <v>Null</v>
      </c>
      <c r="Z16" s="7" t="str">
        <f>Tabella2[[#This Row],[Amplitute RADIAL stress  (MPa)]]</f>
        <v>Null</v>
      </c>
      <c r="AA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" s="8">
        <f>IF( AND(ISNUMBER(Tabella2[[#This Row],[Mean AXIAL stress  (MPa)]]), ISNUMBER(Tabella2[[#This Row],[Area (mm^2)]])), Tabella2[[#This Row],[Mean AXIAL stress  (MPa)]]*Tabella2[[#This Row],[Area (mm^2)]], "Null")</f>
        <v>0</v>
      </c>
      <c r="AC16" s="8">
        <f>IF( AND(ISNUMBER(Tabella2[[#This Row],[Amplitute AXIAL stress  (MPa)]]), ISNUMBER(Tabella2[[#This Row],[Area (mm^2)]])), Tabella2[[#This Row],[Amplitute AXIAL stress  (MPa)]]*Tabella2[[#This Row],[Area (mm^2)]],"Null")</f>
        <v>7726.7326020201508</v>
      </c>
      <c r="AD16" s="8">
        <f>IF( AND(ISNUMBER(Tabella2[[#This Row],[Amplitude AXIAL force (N)]]), ISNUMBER(Tabella2[[#This Row],[Mean AXIAL force (N)]])), Tabella2[[#This Row],[Amplitude AXIAL force (N)]]+Tabella2[[#This Row],[Mean AXIAL force (N)]],"Null")</f>
        <v>7726.7326020201508</v>
      </c>
      <c r="AE1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393.51926001945901</v>
      </c>
      <c r="AI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6" s="1"/>
    </row>
    <row r="17" spans="1:36" x14ac:dyDescent="0.25">
      <c r="A17" s="1" t="s">
        <v>90</v>
      </c>
      <c r="B17" s="1">
        <v>2018</v>
      </c>
      <c r="C17" s="1" t="s">
        <v>93</v>
      </c>
      <c r="D17" s="1" t="s">
        <v>67</v>
      </c>
      <c r="E17" s="1">
        <v>2629781.5962850498</v>
      </c>
      <c r="F17" s="1" t="s">
        <v>34</v>
      </c>
      <c r="G17" s="1" t="s">
        <v>120</v>
      </c>
      <c r="H17" s="1" t="e" vm="1">
        <v>#VALUE!</v>
      </c>
      <c r="I17" s="1" t="s">
        <v>45</v>
      </c>
      <c r="J17" s="1" t="s">
        <v>34</v>
      </c>
      <c r="K17" s="1">
        <v>5</v>
      </c>
      <c r="L17" s="8">
        <f>PI()*(Tabella2[[#This Row],[Diameter (mm)]]/2)^2</f>
        <v>19.634954084936208</v>
      </c>
      <c r="M17" s="8">
        <f>(PI()*Tabella2[[#This Row],[Diameter (mm)]]^4)/32</f>
        <v>61.359231515425648</v>
      </c>
      <c r="N17" s="1" t="s">
        <v>35</v>
      </c>
      <c r="O17" s="1" t="s">
        <v>35</v>
      </c>
      <c r="P17" s="1" t="s">
        <v>35</v>
      </c>
      <c r="Q17" s="1">
        <v>-1</v>
      </c>
      <c r="R17" s="1" t="s">
        <v>35</v>
      </c>
      <c r="S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" s="1" t="s">
        <v>35</v>
      </c>
      <c r="U1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7" s="1">
        <v>382.97527778420698</v>
      </c>
      <c r="W1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7" s="7" t="s">
        <v>35</v>
      </c>
      <c r="Y17" s="7" t="str">
        <f>Tabella2[[#This Row],[Mean RADIAL stress  (MPa)]]</f>
        <v>Null</v>
      </c>
      <c r="Z17" s="7" t="str">
        <f>Tabella2[[#This Row],[Amplitute RADIAL stress  (MPa)]]</f>
        <v>Null</v>
      </c>
      <c r="AA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" s="8">
        <f>IF( AND(ISNUMBER(Tabella2[[#This Row],[Mean AXIAL stress  (MPa)]]), ISNUMBER(Tabella2[[#This Row],[Area (mm^2)]])), Tabella2[[#This Row],[Mean AXIAL stress  (MPa)]]*Tabella2[[#This Row],[Area (mm^2)]], "Null")</f>
        <v>0</v>
      </c>
      <c r="AC17" s="8">
        <f>IF( AND(ISNUMBER(Tabella2[[#This Row],[Amplitute AXIAL stress  (MPa)]]), ISNUMBER(Tabella2[[#This Row],[Area (mm^2)]])), Tabella2[[#This Row],[Amplitute AXIAL stress  (MPa)]]*Tabella2[[#This Row],[Area (mm^2)]],"Null")</f>
        <v>7519.7019949585938</v>
      </c>
      <c r="AD17" s="8">
        <f>IF( AND(ISNUMBER(Tabella2[[#This Row],[Amplitude AXIAL force (N)]]), ISNUMBER(Tabella2[[#This Row],[Mean AXIAL force (N)]])), Tabella2[[#This Row],[Amplitude AXIAL force (N)]]+Tabella2[[#This Row],[Mean AXIAL force (N)]],"Null")</f>
        <v>7519.7019949585938</v>
      </c>
      <c r="AE1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382.97527778420698</v>
      </c>
      <c r="AI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7" s="1"/>
    </row>
    <row r="18" spans="1:36" x14ac:dyDescent="0.25">
      <c r="A18" s="1" t="s">
        <v>90</v>
      </c>
      <c r="B18" s="1">
        <v>2018</v>
      </c>
      <c r="C18" s="1" t="s">
        <v>93</v>
      </c>
      <c r="D18" s="1" t="s">
        <v>68</v>
      </c>
      <c r="E18" s="1">
        <v>1843487.3708033101</v>
      </c>
      <c r="F18" s="1" t="s">
        <v>34</v>
      </c>
      <c r="G18" s="1" t="s">
        <v>120</v>
      </c>
      <c r="H18" s="1" t="e" vm="1">
        <v>#VALUE!</v>
      </c>
      <c r="I18" s="1" t="s">
        <v>45</v>
      </c>
      <c r="J18" s="1" t="s">
        <v>34</v>
      </c>
      <c r="K18" s="1">
        <v>5</v>
      </c>
      <c r="L18" s="8">
        <f>PI()*(Tabella2[[#This Row],[Diameter (mm)]]/2)^2</f>
        <v>19.634954084936208</v>
      </c>
      <c r="M18" s="8">
        <f>(PI()*Tabella2[[#This Row],[Diameter (mm)]]^4)/32</f>
        <v>61.359231515425648</v>
      </c>
      <c r="N18" s="1" t="s">
        <v>35</v>
      </c>
      <c r="O18" s="1" t="s">
        <v>35</v>
      </c>
      <c r="P18" s="1" t="s">
        <v>35</v>
      </c>
      <c r="Q18" s="1">
        <v>-1</v>
      </c>
      <c r="R18" s="1" t="s">
        <v>35</v>
      </c>
      <c r="S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" s="1" t="s">
        <v>35</v>
      </c>
      <c r="U1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8" s="1">
        <v>361.10841586552198</v>
      </c>
      <c r="W1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8" s="7" t="s">
        <v>35</v>
      </c>
      <c r="Y18" s="7" t="str">
        <f>Tabella2[[#This Row],[Mean RADIAL stress  (MPa)]]</f>
        <v>Null</v>
      </c>
      <c r="Z18" s="7" t="str">
        <f>Tabella2[[#This Row],[Amplitute RADIAL stress  (MPa)]]</f>
        <v>Null</v>
      </c>
      <c r="AA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" s="8">
        <f>IF( AND(ISNUMBER(Tabella2[[#This Row],[Mean AXIAL stress  (MPa)]]), ISNUMBER(Tabella2[[#This Row],[Area (mm^2)]])), Tabella2[[#This Row],[Mean AXIAL stress  (MPa)]]*Tabella2[[#This Row],[Area (mm^2)]], "Null")</f>
        <v>0</v>
      </c>
      <c r="AC18" s="8">
        <f>IF( AND(ISNUMBER(Tabella2[[#This Row],[Amplitute AXIAL stress  (MPa)]]), ISNUMBER(Tabella2[[#This Row],[Area (mm^2)]])), Tabella2[[#This Row],[Amplitute AXIAL stress  (MPa)]]*Tabella2[[#This Row],[Area (mm^2)]],"Null")</f>
        <v>7090.3471652035732</v>
      </c>
      <c r="AD18" s="8">
        <f>IF( AND(ISNUMBER(Tabella2[[#This Row],[Amplitude AXIAL force (N)]]), ISNUMBER(Tabella2[[#This Row],[Mean AXIAL force (N)]])), Tabella2[[#This Row],[Amplitude AXIAL force (N)]]+Tabella2[[#This Row],[Mean AXIAL force (N)]],"Null")</f>
        <v>7090.3471652035732</v>
      </c>
      <c r="AE1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361.10841586552198</v>
      </c>
      <c r="AI1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9" spans="1:36" x14ac:dyDescent="0.25">
      <c r="A19" s="1" t="s">
        <v>50</v>
      </c>
      <c r="B19" s="1">
        <v>2022</v>
      </c>
      <c r="C19" s="1" t="s">
        <v>92</v>
      </c>
      <c r="D19" s="1" t="s">
        <v>69</v>
      </c>
      <c r="E19" s="1">
        <v>1269406</v>
      </c>
      <c r="F19" s="1" t="s">
        <v>34</v>
      </c>
      <c r="G19" s="1" t="s">
        <v>120</v>
      </c>
      <c r="H19" s="1" t="e" vm="1">
        <v>#VALUE!</v>
      </c>
      <c r="I19" s="1" t="s">
        <v>45</v>
      </c>
      <c r="J19" s="1" t="s">
        <v>34</v>
      </c>
      <c r="K19" s="1">
        <v>5</v>
      </c>
      <c r="L19" s="8">
        <f>PI()*(Tabella2[[#This Row],[Diameter (mm)]]/2)^2</f>
        <v>19.634954084936208</v>
      </c>
      <c r="M19" s="8">
        <f>(PI()*Tabella2[[#This Row],[Diameter (mm)]]^4)/32</f>
        <v>61.359231515425648</v>
      </c>
      <c r="N19" s="1" t="s">
        <v>35</v>
      </c>
      <c r="O19" s="1" t="s">
        <v>35</v>
      </c>
      <c r="P19" s="1" t="s">
        <v>35</v>
      </c>
      <c r="Q19" s="1">
        <v>-1</v>
      </c>
      <c r="R19" s="1" t="s">
        <v>35</v>
      </c>
      <c r="S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" s="1" t="s">
        <v>35</v>
      </c>
      <c r="U1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9" s="1">
        <v>450</v>
      </c>
      <c r="W1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9" s="7" t="s">
        <v>35</v>
      </c>
      <c r="Y19" s="7" t="str">
        <f>Tabella2[[#This Row],[Mean RADIAL stress  (MPa)]]</f>
        <v>Null</v>
      </c>
      <c r="Z19" s="7" t="str">
        <f>Tabella2[[#This Row],[Amplitute RADIAL stress  (MPa)]]</f>
        <v>Null</v>
      </c>
      <c r="AA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" s="8">
        <f>IF( AND(ISNUMBER(Tabella2[[#This Row],[Mean AXIAL stress  (MPa)]]), ISNUMBER(Tabella2[[#This Row],[Area (mm^2)]])), Tabella2[[#This Row],[Mean AXIAL stress  (MPa)]]*Tabella2[[#This Row],[Area (mm^2)]], "Null")</f>
        <v>0</v>
      </c>
      <c r="AC19" s="8">
        <f>IF( AND(ISNUMBER(Tabella2[[#This Row],[Amplitute AXIAL stress  (MPa)]]), ISNUMBER(Tabella2[[#This Row],[Area (mm^2)]])), Tabella2[[#This Row],[Amplitute AXIAL stress  (MPa)]]*Tabella2[[#This Row],[Area (mm^2)]],"Null")</f>
        <v>8835.7293382212938</v>
      </c>
      <c r="AD19" s="8">
        <f>IF( AND(ISNUMBER(Tabella2[[#This Row],[Amplitude AXIAL force (N)]]), ISNUMBER(Tabella2[[#This Row],[Mean AXIAL force (N)]])), Tabella2[[#This Row],[Amplitude AXIAL force (N)]]+Tabella2[[#This Row],[Mean AXIAL force (N)]],"Null")</f>
        <v>8835.7293382212938</v>
      </c>
      <c r="AE1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</v>
      </c>
      <c r="AI1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0" spans="1:36" x14ac:dyDescent="0.25">
      <c r="A20" s="1" t="s">
        <v>50</v>
      </c>
      <c r="B20" s="1">
        <v>2022</v>
      </c>
      <c r="C20" s="1" t="s">
        <v>92</v>
      </c>
      <c r="D20" s="1" t="s">
        <v>70</v>
      </c>
      <c r="E20" s="1">
        <v>253166</v>
      </c>
      <c r="F20" s="1" t="s">
        <v>34</v>
      </c>
      <c r="G20" s="1" t="s">
        <v>120</v>
      </c>
      <c r="H20" s="1" t="e" vm="1">
        <v>#VALUE!</v>
      </c>
      <c r="I20" s="1" t="s">
        <v>45</v>
      </c>
      <c r="J20" s="1" t="s">
        <v>34</v>
      </c>
      <c r="K20" s="1">
        <v>5</v>
      </c>
      <c r="L20" s="8">
        <f>PI()*(Tabella2[[#This Row],[Diameter (mm)]]/2)^2</f>
        <v>19.634954084936208</v>
      </c>
      <c r="M20" s="8">
        <f>(PI()*Tabella2[[#This Row],[Diameter (mm)]]^4)/32</f>
        <v>61.359231515425648</v>
      </c>
      <c r="N20" s="1" t="s">
        <v>35</v>
      </c>
      <c r="O20" s="1" t="s">
        <v>35</v>
      </c>
      <c r="P20" s="1" t="s">
        <v>35</v>
      </c>
      <c r="Q20" s="1">
        <v>-1</v>
      </c>
      <c r="R20" s="1" t="s">
        <v>35</v>
      </c>
      <c r="S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0" s="1" t="s">
        <v>35</v>
      </c>
      <c r="U2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0" s="1">
        <v>450</v>
      </c>
      <c r="W2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0" s="7" t="s">
        <v>35</v>
      </c>
      <c r="Y20" s="7" t="str">
        <f>Tabella2[[#This Row],[Mean RADIAL stress  (MPa)]]</f>
        <v>Null</v>
      </c>
      <c r="Z20" s="7" t="str">
        <f>Tabella2[[#This Row],[Amplitute RADIAL stress  (MPa)]]</f>
        <v>Null</v>
      </c>
      <c r="AA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0" s="8">
        <f>IF( AND(ISNUMBER(Tabella2[[#This Row],[Mean AXIAL stress  (MPa)]]), ISNUMBER(Tabella2[[#This Row],[Area (mm^2)]])), Tabella2[[#This Row],[Mean AXIAL stress  (MPa)]]*Tabella2[[#This Row],[Area (mm^2)]], "Null")</f>
        <v>0</v>
      </c>
      <c r="AC20" s="8">
        <f>IF( AND(ISNUMBER(Tabella2[[#This Row],[Amplitute AXIAL stress  (MPa)]]), ISNUMBER(Tabella2[[#This Row],[Area (mm^2)]])), Tabella2[[#This Row],[Amplitute AXIAL stress  (MPa)]]*Tabella2[[#This Row],[Area (mm^2)]],"Null")</f>
        <v>8835.7293382212938</v>
      </c>
      <c r="AD20" s="8">
        <f>IF( AND(ISNUMBER(Tabella2[[#This Row],[Amplitude AXIAL force (N)]]), ISNUMBER(Tabella2[[#This Row],[Mean AXIAL force (N)]])), Tabella2[[#This Row],[Amplitude AXIAL force (N)]]+Tabella2[[#This Row],[Mean AXIAL force (N)]],"Null")</f>
        <v>8835.7293382212938</v>
      </c>
      <c r="AE2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</v>
      </c>
      <c r="AI2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1" spans="1:36" x14ac:dyDescent="0.25">
      <c r="A21" s="1" t="s">
        <v>50</v>
      </c>
      <c r="B21" s="1">
        <v>2022</v>
      </c>
      <c r="C21" s="1" t="s">
        <v>92</v>
      </c>
      <c r="D21" s="1" t="s">
        <v>71</v>
      </c>
      <c r="E21" s="1">
        <v>147470</v>
      </c>
      <c r="F21" s="1" t="s">
        <v>34</v>
      </c>
      <c r="G21" s="1" t="s">
        <v>120</v>
      </c>
      <c r="H21" s="1" t="e" vm="1">
        <v>#VALUE!</v>
      </c>
      <c r="I21" s="1" t="s">
        <v>45</v>
      </c>
      <c r="J21" s="1" t="s">
        <v>34</v>
      </c>
      <c r="K21" s="1">
        <v>5</v>
      </c>
      <c r="L21" s="8">
        <f>PI()*(Tabella2[[#This Row],[Diameter (mm)]]/2)^2</f>
        <v>19.634954084936208</v>
      </c>
      <c r="M21" s="8">
        <f>(PI()*Tabella2[[#This Row],[Diameter (mm)]]^4)/32</f>
        <v>61.359231515425648</v>
      </c>
      <c r="N21" s="1" t="s">
        <v>35</v>
      </c>
      <c r="O21" s="1" t="s">
        <v>35</v>
      </c>
      <c r="P21" s="1" t="s">
        <v>35</v>
      </c>
      <c r="Q21" s="1">
        <v>-1</v>
      </c>
      <c r="R21" s="1" t="s">
        <v>35</v>
      </c>
      <c r="S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1" s="1" t="s">
        <v>35</v>
      </c>
      <c r="U2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1" s="1">
        <v>500</v>
      </c>
      <c r="W2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1" s="7" t="s">
        <v>35</v>
      </c>
      <c r="Y21" s="7" t="str">
        <f>Tabella2[[#This Row],[Mean RADIAL stress  (MPa)]]</f>
        <v>Null</v>
      </c>
      <c r="Z21" s="7" t="str">
        <f>Tabella2[[#This Row],[Amplitute RADIAL stress  (MPa)]]</f>
        <v>Null</v>
      </c>
      <c r="AA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1" s="8">
        <f>IF( AND(ISNUMBER(Tabella2[[#This Row],[Mean AXIAL stress  (MPa)]]), ISNUMBER(Tabella2[[#This Row],[Area (mm^2)]])), Tabella2[[#This Row],[Mean AXIAL stress  (MPa)]]*Tabella2[[#This Row],[Area (mm^2)]], "Null")</f>
        <v>0</v>
      </c>
      <c r="AC21" s="8">
        <f>IF( AND(ISNUMBER(Tabella2[[#This Row],[Amplitute AXIAL stress  (MPa)]]), ISNUMBER(Tabella2[[#This Row],[Area (mm^2)]])), Tabella2[[#This Row],[Amplitute AXIAL stress  (MPa)]]*Tabella2[[#This Row],[Area (mm^2)]],"Null")</f>
        <v>9817.4770424681046</v>
      </c>
      <c r="AD21" s="8">
        <f>IF( AND(ISNUMBER(Tabella2[[#This Row],[Amplitude AXIAL force (N)]]), ISNUMBER(Tabella2[[#This Row],[Mean AXIAL force (N)]])), Tabella2[[#This Row],[Amplitude AXIAL force (N)]]+Tabella2[[#This Row],[Mean AXIAL force (N)]],"Null")</f>
        <v>9817.4770424681046</v>
      </c>
      <c r="AE2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500</v>
      </c>
      <c r="AI2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2" spans="1:36" x14ac:dyDescent="0.25">
      <c r="A22" s="1" t="s">
        <v>50</v>
      </c>
      <c r="B22" s="1">
        <v>2022</v>
      </c>
      <c r="C22" s="1" t="s">
        <v>92</v>
      </c>
      <c r="D22" s="1" t="s">
        <v>72</v>
      </c>
      <c r="E22" s="1">
        <v>212560</v>
      </c>
      <c r="F22" s="1" t="s">
        <v>34</v>
      </c>
      <c r="G22" s="1" t="s">
        <v>120</v>
      </c>
      <c r="H22" s="1" t="e" vm="1">
        <v>#VALUE!</v>
      </c>
      <c r="I22" s="1" t="s">
        <v>45</v>
      </c>
      <c r="J22" s="1" t="s">
        <v>34</v>
      </c>
      <c r="K22" s="1">
        <v>5</v>
      </c>
      <c r="L22" s="8">
        <f>PI()*(Tabella2[[#This Row],[Diameter (mm)]]/2)^2</f>
        <v>19.634954084936208</v>
      </c>
      <c r="M22" s="8">
        <f>(PI()*Tabella2[[#This Row],[Diameter (mm)]]^4)/32</f>
        <v>61.359231515425648</v>
      </c>
      <c r="N22" s="1" t="s">
        <v>35</v>
      </c>
      <c r="O22" s="1" t="s">
        <v>35</v>
      </c>
      <c r="P22" s="1" t="s">
        <v>35</v>
      </c>
      <c r="Q22" s="1">
        <v>-1</v>
      </c>
      <c r="R22" s="1" t="s">
        <v>35</v>
      </c>
      <c r="S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2" s="1" t="s">
        <v>35</v>
      </c>
      <c r="U2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2" s="1">
        <v>500</v>
      </c>
      <c r="W2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2" s="7" t="s">
        <v>35</v>
      </c>
      <c r="Y22" s="7" t="str">
        <f>Tabella2[[#This Row],[Mean RADIAL stress  (MPa)]]</f>
        <v>Null</v>
      </c>
      <c r="Z22" s="7" t="str">
        <f>Tabella2[[#This Row],[Amplitute RADIAL stress  (MPa)]]</f>
        <v>Null</v>
      </c>
      <c r="AA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2" s="8">
        <f>IF( AND(ISNUMBER(Tabella2[[#This Row],[Mean AXIAL stress  (MPa)]]), ISNUMBER(Tabella2[[#This Row],[Area (mm^2)]])), Tabella2[[#This Row],[Mean AXIAL stress  (MPa)]]*Tabella2[[#This Row],[Area (mm^2)]], "Null")</f>
        <v>0</v>
      </c>
      <c r="AC22" s="8">
        <f>IF( AND(ISNUMBER(Tabella2[[#This Row],[Amplitute AXIAL stress  (MPa)]]), ISNUMBER(Tabella2[[#This Row],[Area (mm^2)]])), Tabella2[[#This Row],[Amplitute AXIAL stress  (MPa)]]*Tabella2[[#This Row],[Area (mm^2)]],"Null")</f>
        <v>9817.4770424681046</v>
      </c>
      <c r="AD22" s="8">
        <f>IF( AND(ISNUMBER(Tabella2[[#This Row],[Amplitude AXIAL force (N)]]), ISNUMBER(Tabella2[[#This Row],[Mean AXIAL force (N)]])), Tabella2[[#This Row],[Amplitude AXIAL force (N)]]+Tabella2[[#This Row],[Mean AXIAL force (N)]],"Null")</f>
        <v>9817.4770424681046</v>
      </c>
      <c r="AE2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500</v>
      </c>
      <c r="AI2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3" spans="1:36" x14ac:dyDescent="0.25">
      <c r="A23" s="1" t="s">
        <v>50</v>
      </c>
      <c r="B23" s="1">
        <v>2022</v>
      </c>
      <c r="C23" s="1" t="s">
        <v>92</v>
      </c>
      <c r="D23" s="1" t="s">
        <v>73</v>
      </c>
      <c r="E23" s="1">
        <v>5000000</v>
      </c>
      <c r="F23" s="1" t="s">
        <v>64</v>
      </c>
      <c r="G23" s="1" t="s">
        <v>120</v>
      </c>
      <c r="H23" s="1" t="e" vm="1">
        <v>#VALUE!</v>
      </c>
      <c r="I23" s="1" t="s">
        <v>45</v>
      </c>
      <c r="J23" s="1" t="s">
        <v>34</v>
      </c>
      <c r="K23" s="1">
        <v>5</v>
      </c>
      <c r="L23" s="8">
        <f>PI()*(Tabella2[[#This Row],[Diameter (mm)]]/2)^2</f>
        <v>19.634954084936208</v>
      </c>
      <c r="M23" s="8">
        <f>(PI()*Tabella2[[#This Row],[Diameter (mm)]]^4)/32</f>
        <v>61.359231515425648</v>
      </c>
      <c r="N23" s="1" t="s">
        <v>35</v>
      </c>
      <c r="O23" s="1" t="s">
        <v>35</v>
      </c>
      <c r="P23" s="1" t="s">
        <v>35</v>
      </c>
      <c r="Q23" s="1">
        <v>-1</v>
      </c>
      <c r="R23" s="1" t="s">
        <v>35</v>
      </c>
      <c r="S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3" s="1" t="s">
        <v>35</v>
      </c>
      <c r="U2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3" s="1">
        <v>400</v>
      </c>
      <c r="W2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3" s="7" t="s">
        <v>35</v>
      </c>
      <c r="Y23" s="7" t="str">
        <f>Tabella2[[#This Row],[Mean RADIAL stress  (MPa)]]</f>
        <v>Null</v>
      </c>
      <c r="Z23" s="7" t="str">
        <f>Tabella2[[#This Row],[Amplitute RADIAL stress  (MPa)]]</f>
        <v>Null</v>
      </c>
      <c r="AA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3" s="8">
        <f>IF( AND(ISNUMBER(Tabella2[[#This Row],[Mean AXIAL stress  (MPa)]]), ISNUMBER(Tabella2[[#This Row],[Area (mm^2)]])), Tabella2[[#This Row],[Mean AXIAL stress  (MPa)]]*Tabella2[[#This Row],[Area (mm^2)]], "Null")</f>
        <v>0</v>
      </c>
      <c r="AC23" s="8">
        <f>IF( AND(ISNUMBER(Tabella2[[#This Row],[Amplitute AXIAL stress  (MPa)]]), ISNUMBER(Tabella2[[#This Row],[Area (mm^2)]])), Tabella2[[#This Row],[Amplitute AXIAL stress  (MPa)]]*Tabella2[[#This Row],[Area (mm^2)]],"Null")</f>
        <v>7853.981633974483</v>
      </c>
      <c r="AD23" s="8">
        <f>IF( AND(ISNUMBER(Tabella2[[#This Row],[Amplitude AXIAL force (N)]]), ISNUMBER(Tabella2[[#This Row],[Mean AXIAL force (N)]])), Tabella2[[#This Row],[Amplitude AXIAL force (N)]]+Tabella2[[#This Row],[Mean AXIAL force (N)]],"Null")</f>
        <v>7853.981633974483</v>
      </c>
      <c r="AE2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400</v>
      </c>
      <c r="AI2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4" spans="1:36" x14ac:dyDescent="0.25">
      <c r="A24" s="1" t="s">
        <v>50</v>
      </c>
      <c r="B24" s="1">
        <v>2022</v>
      </c>
      <c r="C24" s="1" t="s">
        <v>92</v>
      </c>
      <c r="D24" s="1" t="s">
        <v>74</v>
      </c>
      <c r="E24" s="1">
        <v>5000000</v>
      </c>
      <c r="F24" s="1" t="s">
        <v>64</v>
      </c>
      <c r="G24" s="1" t="s">
        <v>120</v>
      </c>
      <c r="H24" s="1" t="e" vm="1">
        <v>#VALUE!</v>
      </c>
      <c r="I24" s="1" t="s">
        <v>45</v>
      </c>
      <c r="J24" s="1" t="s">
        <v>34</v>
      </c>
      <c r="K24" s="1">
        <v>5</v>
      </c>
      <c r="L24" s="8">
        <f>PI()*(Tabella2[[#This Row],[Diameter (mm)]]/2)^2</f>
        <v>19.634954084936208</v>
      </c>
      <c r="M24" s="8">
        <f>(PI()*Tabella2[[#This Row],[Diameter (mm)]]^4)/32</f>
        <v>61.359231515425648</v>
      </c>
      <c r="N24" s="1" t="s">
        <v>35</v>
      </c>
      <c r="O24" s="1" t="s">
        <v>35</v>
      </c>
      <c r="P24" s="1" t="s">
        <v>35</v>
      </c>
      <c r="Q24" s="1">
        <v>-1</v>
      </c>
      <c r="R24" s="1" t="s">
        <v>35</v>
      </c>
      <c r="S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4" s="1" t="s">
        <v>35</v>
      </c>
      <c r="U2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4" s="1">
        <v>425</v>
      </c>
      <c r="W2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4" s="7" t="s">
        <v>35</v>
      </c>
      <c r="Y24" s="7" t="str">
        <f>Tabella2[[#This Row],[Mean RADIAL stress  (MPa)]]</f>
        <v>Null</v>
      </c>
      <c r="Z24" s="7" t="str">
        <f>Tabella2[[#This Row],[Amplitute RADIAL stress  (MPa)]]</f>
        <v>Null</v>
      </c>
      <c r="AA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4" s="8">
        <f>IF( AND(ISNUMBER(Tabella2[[#This Row],[Mean AXIAL stress  (MPa)]]), ISNUMBER(Tabella2[[#This Row],[Area (mm^2)]])), Tabella2[[#This Row],[Mean AXIAL stress  (MPa)]]*Tabella2[[#This Row],[Area (mm^2)]], "Null")</f>
        <v>0</v>
      </c>
      <c r="AC24" s="8">
        <f>IF( AND(ISNUMBER(Tabella2[[#This Row],[Amplitute AXIAL stress  (MPa)]]), ISNUMBER(Tabella2[[#This Row],[Area (mm^2)]])), Tabella2[[#This Row],[Amplitute AXIAL stress  (MPa)]]*Tabella2[[#This Row],[Area (mm^2)]],"Null")</f>
        <v>8344.8554860978875</v>
      </c>
      <c r="AD24" s="8">
        <f>IF( AND(ISNUMBER(Tabella2[[#This Row],[Amplitude AXIAL force (N)]]), ISNUMBER(Tabella2[[#This Row],[Mean AXIAL force (N)]])), Tabella2[[#This Row],[Amplitude AXIAL force (N)]]+Tabella2[[#This Row],[Mean AXIAL force (N)]],"Null")</f>
        <v>8344.8554860978875</v>
      </c>
      <c r="AE2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  <c r="AI2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5" spans="1:36" x14ac:dyDescent="0.25">
      <c r="A25" s="1" t="s">
        <v>50</v>
      </c>
      <c r="B25" s="1">
        <v>2022</v>
      </c>
      <c r="C25" s="1" t="s">
        <v>92</v>
      </c>
      <c r="D25" s="1" t="s">
        <v>75</v>
      </c>
      <c r="E25" s="1">
        <v>274825</v>
      </c>
      <c r="F25" s="1" t="s">
        <v>34</v>
      </c>
      <c r="G25" s="1" t="s">
        <v>120</v>
      </c>
      <c r="H25" s="1" t="e" vm="1">
        <v>#VALUE!</v>
      </c>
      <c r="I25" s="1" t="s">
        <v>45</v>
      </c>
      <c r="J25" s="1" t="s">
        <v>34</v>
      </c>
      <c r="K25" s="1">
        <v>5</v>
      </c>
      <c r="L25" s="8">
        <f>PI()*(Tabella2[[#This Row],[Diameter (mm)]]/2)^2</f>
        <v>19.634954084936208</v>
      </c>
      <c r="M25" s="8">
        <f>(PI()*Tabella2[[#This Row],[Diameter (mm)]]^4)/32</f>
        <v>61.359231515425648</v>
      </c>
      <c r="N25" s="1" t="s">
        <v>35</v>
      </c>
      <c r="O25" s="1" t="s">
        <v>35</v>
      </c>
      <c r="P25" s="1" t="s">
        <v>35</v>
      </c>
      <c r="Q25" s="1">
        <v>-1</v>
      </c>
      <c r="R25" s="1" t="s">
        <v>35</v>
      </c>
      <c r="S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5" s="1" t="s">
        <v>35</v>
      </c>
      <c r="U2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5" s="1">
        <v>450</v>
      </c>
      <c r="W2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5" s="7" t="s">
        <v>35</v>
      </c>
      <c r="Y25" s="7" t="str">
        <f>Tabella2[[#This Row],[Mean RADIAL stress  (MPa)]]</f>
        <v>Null</v>
      </c>
      <c r="Z25" s="7" t="str">
        <f>Tabella2[[#This Row],[Amplitute RADIAL stress  (MPa)]]</f>
        <v>Null</v>
      </c>
      <c r="AA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5" s="8">
        <f>IF( AND(ISNUMBER(Tabella2[[#This Row],[Mean AXIAL stress  (MPa)]]), ISNUMBER(Tabella2[[#This Row],[Area (mm^2)]])), Tabella2[[#This Row],[Mean AXIAL stress  (MPa)]]*Tabella2[[#This Row],[Area (mm^2)]], "Null")</f>
        <v>0</v>
      </c>
      <c r="AC25" s="8">
        <f>IF( AND(ISNUMBER(Tabella2[[#This Row],[Amplitute AXIAL stress  (MPa)]]), ISNUMBER(Tabella2[[#This Row],[Area (mm^2)]])), Tabella2[[#This Row],[Amplitute AXIAL stress  (MPa)]]*Tabella2[[#This Row],[Area (mm^2)]],"Null")</f>
        <v>8835.7293382212938</v>
      </c>
      <c r="AD25" s="8">
        <f>IF( AND(ISNUMBER(Tabella2[[#This Row],[Amplitude AXIAL force (N)]]), ISNUMBER(Tabella2[[#This Row],[Mean AXIAL force (N)]])), Tabella2[[#This Row],[Amplitude AXIAL force (N)]]+Tabella2[[#This Row],[Mean AXIAL force (N)]],"Null")</f>
        <v>8835.7293382212938</v>
      </c>
      <c r="AE2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</v>
      </c>
      <c r="AI2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6" spans="1:36" x14ac:dyDescent="0.25">
      <c r="A26" s="1" t="s">
        <v>50</v>
      </c>
      <c r="B26" s="1">
        <v>2022</v>
      </c>
      <c r="C26" s="1" t="s">
        <v>92</v>
      </c>
      <c r="D26" s="1" t="s">
        <v>76</v>
      </c>
      <c r="E26" s="1">
        <v>33380</v>
      </c>
      <c r="F26" s="1" t="s">
        <v>34</v>
      </c>
      <c r="G26" s="1" t="s">
        <v>120</v>
      </c>
      <c r="H26" s="1" t="e" vm="1">
        <v>#VALUE!</v>
      </c>
      <c r="I26" s="1" t="s">
        <v>45</v>
      </c>
      <c r="J26" s="1" t="s">
        <v>34</v>
      </c>
      <c r="K26" s="1">
        <v>5</v>
      </c>
      <c r="L26" s="8">
        <f>PI()*(Tabella2[[#This Row],[Diameter (mm)]]/2)^2</f>
        <v>19.634954084936208</v>
      </c>
      <c r="M26" s="8">
        <f>(PI()*Tabella2[[#This Row],[Diameter (mm)]]^4)/32</f>
        <v>61.359231515425648</v>
      </c>
      <c r="N26" s="1" t="s">
        <v>35</v>
      </c>
      <c r="O26" s="1" t="s">
        <v>35</v>
      </c>
      <c r="P26" s="1" t="s">
        <v>35</v>
      </c>
      <c r="Q26" s="1">
        <v>-1</v>
      </c>
      <c r="R26" s="1" t="s">
        <v>35</v>
      </c>
      <c r="S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6" s="1" t="s">
        <v>35</v>
      </c>
      <c r="U2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6" s="1">
        <v>500</v>
      </c>
      <c r="W2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6" s="7" t="s">
        <v>35</v>
      </c>
      <c r="Y26" s="7" t="str">
        <f>Tabella2[[#This Row],[Mean RADIAL stress  (MPa)]]</f>
        <v>Null</v>
      </c>
      <c r="Z26" s="7" t="str">
        <f>Tabella2[[#This Row],[Amplitute RADIAL stress  (MPa)]]</f>
        <v>Null</v>
      </c>
      <c r="AA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6" s="8">
        <f>IF( AND(ISNUMBER(Tabella2[[#This Row],[Mean AXIAL stress  (MPa)]]), ISNUMBER(Tabella2[[#This Row],[Area (mm^2)]])), Tabella2[[#This Row],[Mean AXIAL stress  (MPa)]]*Tabella2[[#This Row],[Area (mm^2)]], "Null")</f>
        <v>0</v>
      </c>
      <c r="AC26" s="8">
        <f>IF( AND(ISNUMBER(Tabella2[[#This Row],[Amplitute AXIAL stress  (MPa)]]), ISNUMBER(Tabella2[[#This Row],[Area (mm^2)]])), Tabella2[[#This Row],[Amplitute AXIAL stress  (MPa)]]*Tabella2[[#This Row],[Area (mm^2)]],"Null")</f>
        <v>9817.4770424681046</v>
      </c>
      <c r="AD26" s="8">
        <f>IF( AND(ISNUMBER(Tabella2[[#This Row],[Amplitude AXIAL force (N)]]), ISNUMBER(Tabella2[[#This Row],[Mean AXIAL force (N)]])), Tabella2[[#This Row],[Amplitude AXIAL force (N)]]+Tabella2[[#This Row],[Mean AXIAL force (N)]],"Null")</f>
        <v>9817.4770424681046</v>
      </c>
      <c r="AE2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500</v>
      </c>
      <c r="AI2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7" spans="1:36" x14ac:dyDescent="0.25">
      <c r="A27" s="1" t="s">
        <v>50</v>
      </c>
      <c r="B27" s="1">
        <v>2022</v>
      </c>
      <c r="C27" s="1" t="s">
        <v>92</v>
      </c>
      <c r="D27" s="1" t="s">
        <v>77</v>
      </c>
      <c r="E27" s="1">
        <v>1045282</v>
      </c>
      <c r="F27" s="1" t="s">
        <v>34</v>
      </c>
      <c r="G27" s="1" t="s">
        <v>120</v>
      </c>
      <c r="H27" s="1" t="e" vm="1">
        <v>#VALUE!</v>
      </c>
      <c r="I27" s="1" t="s">
        <v>45</v>
      </c>
      <c r="J27" s="1" t="s">
        <v>34</v>
      </c>
      <c r="K27" s="1">
        <v>5</v>
      </c>
      <c r="L27" s="8">
        <f>PI()*(Tabella2[[#This Row],[Diameter (mm)]]/2)^2</f>
        <v>19.634954084936208</v>
      </c>
      <c r="M27" s="8">
        <f>(PI()*Tabella2[[#This Row],[Diameter (mm)]]^4)/32</f>
        <v>61.359231515425648</v>
      </c>
      <c r="N27" s="1" t="s">
        <v>35</v>
      </c>
      <c r="O27" s="1" t="s">
        <v>35</v>
      </c>
      <c r="P27" s="1" t="s">
        <v>35</v>
      </c>
      <c r="Q27" s="1">
        <v>-1</v>
      </c>
      <c r="R27" s="1" t="s">
        <v>35</v>
      </c>
      <c r="S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7" s="1" t="s">
        <v>35</v>
      </c>
      <c r="U2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7" s="1">
        <v>425</v>
      </c>
      <c r="W2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7" s="7" t="s">
        <v>35</v>
      </c>
      <c r="Y27" s="7" t="str">
        <f>Tabella2[[#This Row],[Mean RADIAL stress  (MPa)]]</f>
        <v>Null</v>
      </c>
      <c r="Z27" s="7" t="str">
        <f>Tabella2[[#This Row],[Amplitute RADIAL stress  (MPa)]]</f>
        <v>Null</v>
      </c>
      <c r="AA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7" s="8">
        <f>IF( AND(ISNUMBER(Tabella2[[#This Row],[Mean AXIAL stress  (MPa)]]), ISNUMBER(Tabella2[[#This Row],[Area (mm^2)]])), Tabella2[[#This Row],[Mean AXIAL stress  (MPa)]]*Tabella2[[#This Row],[Area (mm^2)]], "Null")</f>
        <v>0</v>
      </c>
      <c r="AC27" s="8">
        <f>IF( AND(ISNUMBER(Tabella2[[#This Row],[Amplitute AXIAL stress  (MPa)]]), ISNUMBER(Tabella2[[#This Row],[Area (mm^2)]])), Tabella2[[#This Row],[Amplitute AXIAL stress  (MPa)]]*Tabella2[[#This Row],[Area (mm^2)]],"Null")</f>
        <v>8344.8554860978875</v>
      </c>
      <c r="AD27" s="8">
        <f>IF( AND(ISNUMBER(Tabella2[[#This Row],[Amplitude AXIAL force (N)]]), ISNUMBER(Tabella2[[#This Row],[Mean AXIAL force (N)]])), Tabella2[[#This Row],[Amplitude AXIAL force (N)]]+Tabella2[[#This Row],[Mean AXIAL force (N)]],"Null")</f>
        <v>8344.8554860978875</v>
      </c>
      <c r="AE2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  <c r="AI2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8" spans="1:36" x14ac:dyDescent="0.25">
      <c r="A28" s="1" t="s">
        <v>50</v>
      </c>
      <c r="B28" s="1">
        <v>2022</v>
      </c>
      <c r="C28" s="1" t="s">
        <v>92</v>
      </c>
      <c r="D28" s="1" t="s">
        <v>78</v>
      </c>
      <c r="E28" s="1">
        <v>5000000</v>
      </c>
      <c r="F28" s="1" t="s">
        <v>64</v>
      </c>
      <c r="G28" s="1" t="s">
        <v>120</v>
      </c>
      <c r="H28" s="1" t="e" vm="1">
        <v>#VALUE!</v>
      </c>
      <c r="I28" s="1" t="s">
        <v>45</v>
      </c>
      <c r="J28" s="1" t="s">
        <v>34</v>
      </c>
      <c r="K28" s="1">
        <v>5</v>
      </c>
      <c r="L28" s="8">
        <f>PI()*(Tabella2[[#This Row],[Diameter (mm)]]/2)^2</f>
        <v>19.634954084936208</v>
      </c>
      <c r="M28" s="8">
        <f>(PI()*Tabella2[[#This Row],[Diameter (mm)]]^4)/32</f>
        <v>61.359231515425648</v>
      </c>
      <c r="N28" s="1" t="s">
        <v>35</v>
      </c>
      <c r="O28" s="1" t="s">
        <v>35</v>
      </c>
      <c r="P28" s="1" t="s">
        <v>35</v>
      </c>
      <c r="Q28" s="1">
        <v>-1</v>
      </c>
      <c r="R28" s="1" t="s">
        <v>35</v>
      </c>
      <c r="S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8" s="1" t="s">
        <v>35</v>
      </c>
      <c r="U2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8" s="1">
        <v>425</v>
      </c>
      <c r="W2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8" s="7" t="s">
        <v>35</v>
      </c>
      <c r="Y28" s="7" t="str">
        <f>Tabella2[[#This Row],[Mean RADIAL stress  (MPa)]]</f>
        <v>Null</v>
      </c>
      <c r="Z28" s="7" t="str">
        <f>Tabella2[[#This Row],[Amplitute RADIAL stress  (MPa)]]</f>
        <v>Null</v>
      </c>
      <c r="AA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8" s="8">
        <f>IF( AND(ISNUMBER(Tabella2[[#This Row],[Mean AXIAL stress  (MPa)]]), ISNUMBER(Tabella2[[#This Row],[Area (mm^2)]])), Tabella2[[#This Row],[Mean AXIAL stress  (MPa)]]*Tabella2[[#This Row],[Area (mm^2)]], "Null")</f>
        <v>0</v>
      </c>
      <c r="AC28" s="8">
        <f>IF( AND(ISNUMBER(Tabella2[[#This Row],[Amplitute AXIAL stress  (MPa)]]), ISNUMBER(Tabella2[[#This Row],[Area (mm^2)]])), Tabella2[[#This Row],[Amplitute AXIAL stress  (MPa)]]*Tabella2[[#This Row],[Area (mm^2)]],"Null")</f>
        <v>8344.8554860978875</v>
      </c>
      <c r="AD28" s="8">
        <f>IF( AND(ISNUMBER(Tabella2[[#This Row],[Amplitude AXIAL force (N)]]), ISNUMBER(Tabella2[[#This Row],[Mean AXIAL force (N)]])), Tabella2[[#This Row],[Amplitude AXIAL force (N)]]+Tabella2[[#This Row],[Mean AXIAL force (N)]],"Null")</f>
        <v>8344.8554860978875</v>
      </c>
      <c r="AE2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  <c r="AI2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9" spans="1:36" x14ac:dyDescent="0.25">
      <c r="A29" s="1" t="s">
        <v>50</v>
      </c>
      <c r="B29" s="1">
        <v>2022</v>
      </c>
      <c r="C29" s="1" t="s">
        <v>92</v>
      </c>
      <c r="D29" s="1" t="s">
        <v>79</v>
      </c>
      <c r="E29" s="1">
        <v>5000000</v>
      </c>
      <c r="F29" s="1" t="s">
        <v>64</v>
      </c>
      <c r="G29" s="1" t="s">
        <v>120</v>
      </c>
      <c r="H29" s="1" t="e" vm="1">
        <v>#VALUE!</v>
      </c>
      <c r="I29" s="1" t="s">
        <v>45</v>
      </c>
      <c r="J29" s="1" t="s">
        <v>34</v>
      </c>
      <c r="K29" s="1">
        <v>5</v>
      </c>
      <c r="L29" s="8">
        <f>PI()*(Tabella2[[#This Row],[Diameter (mm)]]/2)^2</f>
        <v>19.634954084936208</v>
      </c>
      <c r="M29" s="8">
        <f>(PI()*Tabella2[[#This Row],[Diameter (mm)]]^4)/32</f>
        <v>61.359231515425648</v>
      </c>
      <c r="N29" s="1" t="s">
        <v>35</v>
      </c>
      <c r="O29" s="1" t="s">
        <v>35</v>
      </c>
      <c r="P29" s="1" t="s">
        <v>35</v>
      </c>
      <c r="Q29" s="1">
        <v>-1</v>
      </c>
      <c r="R29" s="1" t="s">
        <v>35</v>
      </c>
      <c r="S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9" s="1" t="s">
        <v>35</v>
      </c>
      <c r="U2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9" s="1">
        <v>400</v>
      </c>
      <c r="W2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9" s="7" t="s">
        <v>35</v>
      </c>
      <c r="Y29" s="7" t="str">
        <f>Tabella2[[#This Row],[Mean RADIAL stress  (MPa)]]</f>
        <v>Null</v>
      </c>
      <c r="Z29" s="7" t="str">
        <f>Tabella2[[#This Row],[Amplitute RADIAL stress  (MPa)]]</f>
        <v>Null</v>
      </c>
      <c r="AA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9" s="8">
        <f>IF( AND(ISNUMBER(Tabella2[[#This Row],[Mean AXIAL stress  (MPa)]]), ISNUMBER(Tabella2[[#This Row],[Area (mm^2)]])), Tabella2[[#This Row],[Mean AXIAL stress  (MPa)]]*Tabella2[[#This Row],[Area (mm^2)]], "Null")</f>
        <v>0</v>
      </c>
      <c r="AC29" s="8">
        <f>IF( AND(ISNUMBER(Tabella2[[#This Row],[Amplitute AXIAL stress  (MPa)]]), ISNUMBER(Tabella2[[#This Row],[Area (mm^2)]])), Tabella2[[#This Row],[Amplitute AXIAL stress  (MPa)]]*Tabella2[[#This Row],[Area (mm^2)]],"Null")</f>
        <v>7853.981633974483</v>
      </c>
      <c r="AD29" s="8">
        <f>IF( AND(ISNUMBER(Tabella2[[#This Row],[Amplitude AXIAL force (N)]]), ISNUMBER(Tabella2[[#This Row],[Mean AXIAL force (N)]])), Tabella2[[#This Row],[Amplitude AXIAL force (N)]]+Tabella2[[#This Row],[Mean AXIAL force (N)]],"Null")</f>
        <v>7853.981633974483</v>
      </c>
      <c r="AE2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400</v>
      </c>
      <c r="AI2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0" spans="1:36" x14ac:dyDescent="0.25">
      <c r="A30" s="1" t="s">
        <v>50</v>
      </c>
      <c r="B30" s="1">
        <v>2022</v>
      </c>
      <c r="C30" s="1" t="s">
        <v>92</v>
      </c>
      <c r="D30" s="1" t="s">
        <v>94</v>
      </c>
      <c r="E30" s="1">
        <v>5000000</v>
      </c>
      <c r="F30" s="1" t="s">
        <v>64</v>
      </c>
      <c r="G30" s="1" t="s">
        <v>120</v>
      </c>
      <c r="H30" s="1" t="e" vm="1">
        <v>#VALUE!</v>
      </c>
      <c r="I30" s="1" t="s">
        <v>45</v>
      </c>
      <c r="J30" s="1" t="s">
        <v>34</v>
      </c>
      <c r="K30" s="1">
        <v>5</v>
      </c>
      <c r="L30" s="8">
        <f>PI()*(Tabella2[[#This Row],[Diameter (mm)]]/2)^2</f>
        <v>19.634954084936208</v>
      </c>
      <c r="M30" s="8">
        <f>(PI()*Tabella2[[#This Row],[Diameter (mm)]]^4)/32</f>
        <v>61.359231515425648</v>
      </c>
      <c r="N30" s="1" t="s">
        <v>35</v>
      </c>
      <c r="O30" s="1" t="s">
        <v>35</v>
      </c>
      <c r="P30" s="1" t="s">
        <v>35</v>
      </c>
      <c r="Q30" s="1">
        <v>-1</v>
      </c>
      <c r="R30" s="1" t="s">
        <v>35</v>
      </c>
      <c r="S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0" s="1" t="s">
        <v>35</v>
      </c>
      <c r="U3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0" s="1">
        <v>425</v>
      </c>
      <c r="W3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0" s="7" t="s">
        <v>35</v>
      </c>
      <c r="Y30" s="7" t="str">
        <f>Tabella2[[#This Row],[Mean RADIAL stress  (MPa)]]</f>
        <v>Null</v>
      </c>
      <c r="Z30" s="7" t="str">
        <f>Tabella2[[#This Row],[Amplitute RADIAL stress  (MPa)]]</f>
        <v>Null</v>
      </c>
      <c r="AA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0" s="8">
        <f>IF( AND(ISNUMBER(Tabella2[[#This Row],[Mean AXIAL stress  (MPa)]]), ISNUMBER(Tabella2[[#This Row],[Area (mm^2)]])), Tabella2[[#This Row],[Mean AXIAL stress  (MPa)]]*Tabella2[[#This Row],[Area (mm^2)]], "Null")</f>
        <v>0</v>
      </c>
      <c r="AC30" s="8">
        <f>IF( AND(ISNUMBER(Tabella2[[#This Row],[Amplitute AXIAL stress  (MPa)]]), ISNUMBER(Tabella2[[#This Row],[Area (mm^2)]])), Tabella2[[#This Row],[Amplitute AXIAL stress  (MPa)]]*Tabella2[[#This Row],[Area (mm^2)]],"Null")</f>
        <v>8344.8554860978875</v>
      </c>
      <c r="AD30" s="8">
        <f>IF( AND(ISNUMBER(Tabella2[[#This Row],[Amplitude AXIAL force (N)]]), ISNUMBER(Tabella2[[#This Row],[Mean AXIAL force (N)]])), Tabella2[[#This Row],[Amplitude AXIAL force (N)]]+Tabella2[[#This Row],[Mean AXIAL force (N)]],"Null")</f>
        <v>8344.8554860978875</v>
      </c>
      <c r="AE3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  <c r="AI3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1" spans="1:36" x14ac:dyDescent="0.25">
      <c r="A31" s="1" t="s">
        <v>50</v>
      </c>
      <c r="B31" s="1">
        <v>2022</v>
      </c>
      <c r="C31" s="1" t="s">
        <v>92</v>
      </c>
      <c r="D31" s="1" t="s">
        <v>95</v>
      </c>
      <c r="E31" s="1">
        <v>74300</v>
      </c>
      <c r="F31" s="1" t="s">
        <v>34</v>
      </c>
      <c r="G31" s="1" t="s">
        <v>120</v>
      </c>
      <c r="H31" s="1" t="e" vm="1">
        <v>#VALUE!</v>
      </c>
      <c r="I31" s="1" t="s">
        <v>45</v>
      </c>
      <c r="J31" s="1" t="s">
        <v>34</v>
      </c>
      <c r="K31" s="1">
        <v>5</v>
      </c>
      <c r="L31" s="8">
        <f>PI()*(Tabella2[[#This Row],[Diameter (mm)]]/2)^2</f>
        <v>19.634954084936208</v>
      </c>
      <c r="M31" s="8">
        <f>(PI()*Tabella2[[#This Row],[Diameter (mm)]]^4)/32</f>
        <v>61.359231515425648</v>
      </c>
      <c r="N31" s="1" t="s">
        <v>35</v>
      </c>
      <c r="O31" s="1" t="s">
        <v>35</v>
      </c>
      <c r="P31" s="1" t="s">
        <v>35</v>
      </c>
      <c r="Q31" s="1">
        <v>-1</v>
      </c>
      <c r="R31" s="1" t="s">
        <v>35</v>
      </c>
      <c r="S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1" s="1" t="s">
        <v>35</v>
      </c>
      <c r="U3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1" s="1">
        <v>550</v>
      </c>
      <c r="W3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1" s="7" t="s">
        <v>35</v>
      </c>
      <c r="Y31" s="7" t="str">
        <f>Tabella2[[#This Row],[Mean RADIAL stress  (MPa)]]</f>
        <v>Null</v>
      </c>
      <c r="Z31" s="7" t="str">
        <f>Tabella2[[#This Row],[Amplitute RADIAL stress  (MPa)]]</f>
        <v>Null</v>
      </c>
      <c r="AA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1" s="8">
        <f>IF( AND(ISNUMBER(Tabella2[[#This Row],[Mean AXIAL stress  (MPa)]]), ISNUMBER(Tabella2[[#This Row],[Area (mm^2)]])), Tabella2[[#This Row],[Mean AXIAL stress  (MPa)]]*Tabella2[[#This Row],[Area (mm^2)]], "Null")</f>
        <v>0</v>
      </c>
      <c r="AC31" s="8">
        <f>IF( AND(ISNUMBER(Tabella2[[#This Row],[Amplitute AXIAL stress  (MPa)]]), ISNUMBER(Tabella2[[#This Row],[Area (mm^2)]])), Tabella2[[#This Row],[Amplitute AXIAL stress  (MPa)]]*Tabella2[[#This Row],[Area (mm^2)]],"Null")</f>
        <v>10799.224746714914</v>
      </c>
      <c r="AD31" s="8">
        <f>IF( AND(ISNUMBER(Tabella2[[#This Row],[Amplitude AXIAL force (N)]]), ISNUMBER(Tabella2[[#This Row],[Mean AXIAL force (N)]])), Tabella2[[#This Row],[Amplitude AXIAL force (N)]]+Tabella2[[#This Row],[Mean AXIAL force (N)]],"Null")</f>
        <v>10799.224746714914</v>
      </c>
      <c r="AE3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  <c r="AI3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2" spans="1:36" x14ac:dyDescent="0.25">
      <c r="A32" s="1" t="s">
        <v>50</v>
      </c>
      <c r="B32" s="1">
        <v>2022</v>
      </c>
      <c r="C32" s="1" t="s">
        <v>92</v>
      </c>
      <c r="D32" s="1" t="s">
        <v>96</v>
      </c>
      <c r="E32" s="1">
        <v>3620</v>
      </c>
      <c r="F32" s="1" t="s">
        <v>34</v>
      </c>
      <c r="G32" s="1" t="s">
        <v>120</v>
      </c>
      <c r="H32" s="1" t="e" vm="1">
        <v>#VALUE!</v>
      </c>
      <c r="I32" s="1" t="s">
        <v>45</v>
      </c>
      <c r="J32" s="1" t="s">
        <v>34</v>
      </c>
      <c r="K32" s="1">
        <v>5</v>
      </c>
      <c r="L32" s="8">
        <f>PI()*(Tabella2[[#This Row],[Diameter (mm)]]/2)^2</f>
        <v>19.634954084936208</v>
      </c>
      <c r="M32" s="8">
        <f>(PI()*Tabella2[[#This Row],[Diameter (mm)]]^4)/32</f>
        <v>61.359231515425648</v>
      </c>
      <c r="N32" s="1" t="s">
        <v>35</v>
      </c>
      <c r="O32" s="1" t="s">
        <v>35</v>
      </c>
      <c r="P32" s="1" t="s">
        <v>35</v>
      </c>
      <c r="Q32" s="1">
        <v>-1</v>
      </c>
      <c r="R32" s="1" t="s">
        <v>35</v>
      </c>
      <c r="S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2" s="1" t="s">
        <v>35</v>
      </c>
      <c r="U3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2" s="1">
        <v>600</v>
      </c>
      <c r="W3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2" s="7" t="s">
        <v>35</v>
      </c>
      <c r="Y32" s="7" t="str">
        <f>Tabella2[[#This Row],[Mean RADIAL stress  (MPa)]]</f>
        <v>Null</v>
      </c>
      <c r="Z32" s="7" t="str">
        <f>Tabella2[[#This Row],[Amplitute RADIAL stress  (MPa)]]</f>
        <v>Null</v>
      </c>
      <c r="AA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2" s="8">
        <f>IF( AND(ISNUMBER(Tabella2[[#This Row],[Mean AXIAL stress  (MPa)]]), ISNUMBER(Tabella2[[#This Row],[Area (mm^2)]])), Tabella2[[#This Row],[Mean AXIAL stress  (MPa)]]*Tabella2[[#This Row],[Area (mm^2)]], "Null")</f>
        <v>0</v>
      </c>
      <c r="AC32" s="8">
        <f>IF( AND(ISNUMBER(Tabella2[[#This Row],[Amplitute AXIAL stress  (MPa)]]), ISNUMBER(Tabella2[[#This Row],[Area (mm^2)]])), Tabella2[[#This Row],[Amplitute AXIAL stress  (MPa)]]*Tabella2[[#This Row],[Area (mm^2)]],"Null")</f>
        <v>11780.972450961724</v>
      </c>
      <c r="AD32" s="8">
        <f>IF( AND(ISNUMBER(Tabella2[[#This Row],[Amplitude AXIAL force (N)]]), ISNUMBER(Tabella2[[#This Row],[Mean AXIAL force (N)]])), Tabella2[[#This Row],[Amplitude AXIAL force (N)]]+Tabella2[[#This Row],[Mean AXIAL force (N)]],"Null")</f>
        <v>11780.972450961724</v>
      </c>
      <c r="AE3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600</v>
      </c>
      <c r="AI3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3" spans="1:35" x14ac:dyDescent="0.25">
      <c r="A33" s="1" t="s">
        <v>50</v>
      </c>
      <c r="B33" s="1">
        <v>2022</v>
      </c>
      <c r="C33" s="1" t="s">
        <v>92</v>
      </c>
      <c r="D33" s="1" t="s">
        <v>97</v>
      </c>
      <c r="E33" s="1">
        <v>66300</v>
      </c>
      <c r="F33" s="1" t="s">
        <v>34</v>
      </c>
      <c r="G33" s="1" t="s">
        <v>120</v>
      </c>
      <c r="H33" s="1" t="e" vm="1">
        <v>#VALUE!</v>
      </c>
      <c r="I33" s="1" t="s">
        <v>45</v>
      </c>
      <c r="J33" s="1" t="s">
        <v>34</v>
      </c>
      <c r="K33" s="1">
        <v>5</v>
      </c>
      <c r="L33" s="8">
        <f>PI()*(Tabella2[[#This Row],[Diameter (mm)]]/2)^2</f>
        <v>19.634954084936208</v>
      </c>
      <c r="M33" s="8">
        <f>(PI()*Tabella2[[#This Row],[Diameter (mm)]]^4)/32</f>
        <v>61.359231515425648</v>
      </c>
      <c r="N33" s="1" t="s">
        <v>35</v>
      </c>
      <c r="O33" s="1" t="s">
        <v>35</v>
      </c>
      <c r="P33" s="1" t="s">
        <v>35</v>
      </c>
      <c r="Q33" s="1">
        <v>-1</v>
      </c>
      <c r="R33" s="1" t="s">
        <v>35</v>
      </c>
      <c r="S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3" s="1" t="s">
        <v>35</v>
      </c>
      <c r="U3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3" s="1">
        <v>550</v>
      </c>
      <c r="W3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3" s="7" t="s">
        <v>35</v>
      </c>
      <c r="Y33" s="7" t="str">
        <f>Tabella2[[#This Row],[Mean RADIAL stress  (MPa)]]</f>
        <v>Null</v>
      </c>
      <c r="Z33" s="7" t="str">
        <f>Tabella2[[#This Row],[Amplitute RADIAL stress  (MPa)]]</f>
        <v>Null</v>
      </c>
      <c r="AA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3" s="8">
        <f>IF( AND(ISNUMBER(Tabella2[[#This Row],[Mean AXIAL stress  (MPa)]]), ISNUMBER(Tabella2[[#This Row],[Area (mm^2)]])), Tabella2[[#This Row],[Mean AXIAL stress  (MPa)]]*Tabella2[[#This Row],[Area (mm^2)]], "Null")</f>
        <v>0</v>
      </c>
      <c r="AC33" s="8">
        <f>IF( AND(ISNUMBER(Tabella2[[#This Row],[Amplitute AXIAL stress  (MPa)]]), ISNUMBER(Tabella2[[#This Row],[Area (mm^2)]])), Tabella2[[#This Row],[Amplitute AXIAL stress  (MPa)]]*Tabella2[[#This Row],[Area (mm^2)]],"Null")</f>
        <v>10799.224746714914</v>
      </c>
      <c r="AD33" s="8">
        <f>IF( AND(ISNUMBER(Tabella2[[#This Row],[Amplitude AXIAL force (N)]]), ISNUMBER(Tabella2[[#This Row],[Mean AXIAL force (N)]])), Tabella2[[#This Row],[Amplitude AXIAL force (N)]]+Tabella2[[#This Row],[Mean AXIAL force (N)]],"Null")</f>
        <v>10799.224746714914</v>
      </c>
      <c r="AE3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  <c r="AI3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4" spans="1:35" x14ac:dyDescent="0.25">
      <c r="A34" s="1" t="s">
        <v>90</v>
      </c>
      <c r="B34" s="1">
        <v>2018</v>
      </c>
      <c r="C34" s="1" t="s">
        <v>93</v>
      </c>
      <c r="D34" s="1" t="s">
        <v>80</v>
      </c>
      <c r="E34" s="1">
        <v>404746.825120622</v>
      </c>
      <c r="F34" s="1" t="s">
        <v>34</v>
      </c>
      <c r="G34" s="1" t="s">
        <v>120</v>
      </c>
      <c r="H34" s="1" t="e" vm="2">
        <v>#VALUE!</v>
      </c>
      <c r="I34" s="1" t="s">
        <v>45</v>
      </c>
      <c r="J34" s="1" t="s">
        <v>64</v>
      </c>
      <c r="K34" s="1">
        <v>14</v>
      </c>
      <c r="L34" s="8">
        <f>PI()*(Tabella2[[#This Row],[Diameter (mm)]]/2)^2</f>
        <v>153.93804002589985</v>
      </c>
      <c r="M34" s="8">
        <f>(PI()*Tabella2[[#This Row],[Diameter (mm)]]^4)/32</f>
        <v>3771.4819806345467</v>
      </c>
      <c r="N34" s="1" t="s">
        <v>35</v>
      </c>
      <c r="O34" s="1" t="s">
        <v>35</v>
      </c>
      <c r="P34" s="1" t="s">
        <v>35</v>
      </c>
      <c r="Q34" s="1">
        <v>-1</v>
      </c>
      <c r="R34" s="1" t="s">
        <v>35</v>
      </c>
      <c r="S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4" s="1" t="s">
        <v>35</v>
      </c>
      <c r="U3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4">
        <v>123.69405788867201</v>
      </c>
      <c r="W3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4" s="7" t="s">
        <v>35</v>
      </c>
      <c r="Y34" s="7" t="str">
        <f>Tabella2[[#This Row],[Mean RADIAL stress  (MPa)]]</f>
        <v>Null</v>
      </c>
      <c r="Z34" s="7" t="str">
        <f>Tabella2[[#This Row],[Amplitute RADIAL stress  (MPa)]]</f>
        <v>Null</v>
      </c>
      <c r="AA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4" s="8">
        <f>IF( AND(ISNUMBER(Tabella2[[#This Row],[Mean AXIAL stress  (MPa)]]), ISNUMBER(Tabella2[[#This Row],[Area (mm^2)]])), Tabella2[[#This Row],[Mean AXIAL stress  (MPa)]]*Tabella2[[#This Row],[Area (mm^2)]], "Null")</f>
        <v>0</v>
      </c>
      <c r="AC34" s="8">
        <f>IF( AND(ISNUMBER(Tabella2[[#This Row],[Amplitute AXIAL stress  (MPa)]]), ISNUMBER(Tabella2[[#This Row],[Area (mm^2)]])), Tabella2[[#This Row],[Amplitute AXIAL stress  (MPa)]]*Tabella2[[#This Row],[Area (mm^2)]],"Null")</f>
        <v>19041.220834232365</v>
      </c>
      <c r="AD34" s="8">
        <f>IF( AND(ISNUMBER(Tabella2[[#This Row],[Amplitude AXIAL force (N)]]), ISNUMBER(Tabella2[[#This Row],[Mean AXIAL force (N)]])), Tabella2[[#This Row],[Amplitude AXIAL force (N)]]+Tabella2[[#This Row],[Mean AXIAL force (N)]],"Null")</f>
        <v>19041.220834232365</v>
      </c>
      <c r="AE3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123.69405788867201</v>
      </c>
      <c r="AI3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5" spans="1:35" x14ac:dyDescent="0.25">
      <c r="A35" s="1" t="s">
        <v>90</v>
      </c>
      <c r="B35" s="1">
        <v>2018</v>
      </c>
      <c r="C35" s="1" t="s">
        <v>93</v>
      </c>
      <c r="D35" s="1" t="s">
        <v>81</v>
      </c>
      <c r="E35" s="8">
        <v>508719.92174515402</v>
      </c>
      <c r="F35" s="1" t="s">
        <v>34</v>
      </c>
      <c r="G35" s="1" t="s">
        <v>120</v>
      </c>
      <c r="H35" s="1" t="e" vm="2">
        <v>#VALUE!</v>
      </c>
      <c r="I35" s="1" t="s">
        <v>45</v>
      </c>
      <c r="J35" s="1" t="s">
        <v>64</v>
      </c>
      <c r="K35" s="1">
        <v>14</v>
      </c>
      <c r="L35" s="8">
        <f>PI()*(Tabella2[[#This Row],[Diameter (mm)]]/2)^2</f>
        <v>153.93804002589985</v>
      </c>
      <c r="M35" s="8">
        <f>(PI()*Tabella2[[#This Row],[Diameter (mm)]]^4)/32</f>
        <v>3771.4819806345467</v>
      </c>
      <c r="N35" s="1" t="s">
        <v>35</v>
      </c>
      <c r="O35" s="1" t="s">
        <v>35</v>
      </c>
      <c r="P35" s="1" t="s">
        <v>35</v>
      </c>
      <c r="Q35" s="1">
        <v>-1</v>
      </c>
      <c r="R35" s="1" t="s">
        <v>35</v>
      </c>
      <c r="S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5" s="1" t="s">
        <v>35</v>
      </c>
      <c r="U3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5">
        <v>123.75792076544801</v>
      </c>
      <c r="W3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5" s="7" t="s">
        <v>35</v>
      </c>
      <c r="Y35" s="7" t="str">
        <f>Tabella2[[#This Row],[Mean RADIAL stress  (MPa)]]</f>
        <v>Null</v>
      </c>
      <c r="Z35" s="7" t="str">
        <f>Tabella2[[#This Row],[Amplitute RADIAL stress  (MPa)]]</f>
        <v>Null</v>
      </c>
      <c r="AA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5" s="8">
        <f>IF( AND(ISNUMBER(Tabella2[[#This Row],[Mean AXIAL stress  (MPa)]]), ISNUMBER(Tabella2[[#This Row],[Area (mm^2)]])), Tabella2[[#This Row],[Mean AXIAL stress  (MPa)]]*Tabella2[[#This Row],[Area (mm^2)]], "Null")</f>
        <v>0</v>
      </c>
      <c r="AC35" s="8">
        <f>IF( AND(ISNUMBER(Tabella2[[#This Row],[Amplitute AXIAL stress  (MPa)]]), ISNUMBER(Tabella2[[#This Row],[Area (mm^2)]])), Tabella2[[#This Row],[Amplitute AXIAL stress  (MPa)]]*Tabella2[[#This Row],[Area (mm^2)]],"Null")</f>
        <v>19051.051760313676</v>
      </c>
      <c r="AD35" s="8">
        <f>IF( AND(ISNUMBER(Tabella2[[#This Row],[Amplitude AXIAL force (N)]]), ISNUMBER(Tabella2[[#This Row],[Mean AXIAL force (N)]])), Tabella2[[#This Row],[Amplitude AXIAL force (N)]]+Tabella2[[#This Row],[Mean AXIAL force (N)]],"Null")</f>
        <v>19051.051760313676</v>
      </c>
      <c r="AE3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123.75792076544801</v>
      </c>
      <c r="AI3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6" spans="1:35" x14ac:dyDescent="0.25">
      <c r="A36" s="1" t="s">
        <v>90</v>
      </c>
      <c r="B36" s="1">
        <v>2018</v>
      </c>
      <c r="C36" s="1" t="s">
        <v>93</v>
      </c>
      <c r="D36" s="1" t="s">
        <v>82</v>
      </c>
      <c r="E36" s="8">
        <v>644644.52728365001</v>
      </c>
      <c r="F36" s="1" t="s">
        <v>34</v>
      </c>
      <c r="G36" s="1" t="s">
        <v>120</v>
      </c>
      <c r="H36" s="1" t="e" vm="2">
        <v>#VALUE!</v>
      </c>
      <c r="I36" s="1" t="s">
        <v>45</v>
      </c>
      <c r="J36" s="1" t="s">
        <v>64</v>
      </c>
      <c r="K36" s="1">
        <v>14</v>
      </c>
      <c r="L36" s="8">
        <f>PI()*(Tabella2[[#This Row],[Diameter (mm)]]/2)^2</f>
        <v>153.93804002589985</v>
      </c>
      <c r="M36" s="8">
        <f>(PI()*Tabella2[[#This Row],[Diameter (mm)]]^4)/32</f>
        <v>3771.4819806345467</v>
      </c>
      <c r="N36" s="1" t="s">
        <v>35</v>
      </c>
      <c r="O36" s="1" t="s">
        <v>35</v>
      </c>
      <c r="P36" s="1" t="s">
        <v>35</v>
      </c>
      <c r="Q36" s="1">
        <v>-1</v>
      </c>
      <c r="R36" s="1" t="s">
        <v>35</v>
      </c>
      <c r="S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6" s="1" t="s">
        <v>35</v>
      </c>
      <c r="U3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6">
        <v>123.824099219077</v>
      </c>
      <c r="W3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6" s="7" t="s">
        <v>35</v>
      </c>
      <c r="Y36" s="7" t="str">
        <f>Tabella2[[#This Row],[Mean RADIAL stress  (MPa)]]</f>
        <v>Null</v>
      </c>
      <c r="Z36" s="7" t="str">
        <f>Tabella2[[#This Row],[Amplitute RADIAL stress  (MPa)]]</f>
        <v>Null</v>
      </c>
      <c r="AA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6" s="8">
        <f>IF( AND(ISNUMBER(Tabella2[[#This Row],[Mean AXIAL stress  (MPa)]]), ISNUMBER(Tabella2[[#This Row],[Area (mm^2)]])), Tabella2[[#This Row],[Mean AXIAL stress  (MPa)]]*Tabella2[[#This Row],[Area (mm^2)]], "Null")</f>
        <v>0</v>
      </c>
      <c r="AC36" s="8">
        <f>IF( AND(ISNUMBER(Tabella2[[#This Row],[Amplitute AXIAL stress  (MPa)]]), ISNUMBER(Tabella2[[#This Row],[Area (mm^2)]])), Tabella2[[#This Row],[Amplitute AXIAL stress  (MPa)]]*Tabella2[[#This Row],[Area (mm^2)]],"Null")</f>
        <v>19061.239141757269</v>
      </c>
      <c r="AD36" s="8">
        <f>IF( AND(ISNUMBER(Tabella2[[#This Row],[Amplitude AXIAL force (N)]]), ISNUMBER(Tabella2[[#This Row],[Mean AXIAL force (N)]])), Tabella2[[#This Row],[Amplitude AXIAL force (N)]]+Tabella2[[#This Row],[Mean AXIAL force (N)]],"Null")</f>
        <v>19061.239141757269</v>
      </c>
      <c r="AE3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123.824099219077</v>
      </c>
      <c r="AI3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7" spans="1:35" x14ac:dyDescent="0.25">
      <c r="A37" s="1" t="s">
        <v>90</v>
      </c>
      <c r="B37" s="1">
        <v>2018</v>
      </c>
      <c r="C37" s="1" t="s">
        <v>93</v>
      </c>
      <c r="D37" s="1" t="s">
        <v>83</v>
      </c>
      <c r="E37" s="8">
        <v>732849.46659442398</v>
      </c>
      <c r="F37" s="1" t="s">
        <v>34</v>
      </c>
      <c r="G37" s="1" t="s">
        <v>120</v>
      </c>
      <c r="H37" s="1" t="e" vm="2">
        <v>#VALUE!</v>
      </c>
      <c r="I37" s="1" t="s">
        <v>45</v>
      </c>
      <c r="J37" s="1" t="s">
        <v>64</v>
      </c>
      <c r="K37" s="1">
        <v>14</v>
      </c>
      <c r="L37" s="8">
        <f>PI()*(Tabella2[[#This Row],[Diameter (mm)]]/2)^2</f>
        <v>153.93804002589985</v>
      </c>
      <c r="M37" s="8">
        <f>(PI()*Tabella2[[#This Row],[Diameter (mm)]]^4)/32</f>
        <v>3771.4819806345467</v>
      </c>
      <c r="N37" s="1" t="s">
        <v>35</v>
      </c>
      <c r="O37" s="1" t="s">
        <v>35</v>
      </c>
      <c r="P37" s="1" t="s">
        <v>35</v>
      </c>
      <c r="Q37" s="1">
        <v>-1</v>
      </c>
      <c r="R37" s="1" t="s">
        <v>35</v>
      </c>
      <c r="S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7" s="1" t="s">
        <v>35</v>
      </c>
      <c r="U3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7">
        <v>109.902245629625</v>
      </c>
      <c r="W3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7" s="7" t="s">
        <v>35</v>
      </c>
      <c r="Y37" s="7" t="str">
        <f>Tabella2[[#This Row],[Mean RADIAL stress  (MPa)]]</f>
        <v>Null</v>
      </c>
      <c r="Z37" s="7" t="str">
        <f>Tabella2[[#This Row],[Amplitute RADIAL stress  (MPa)]]</f>
        <v>Null</v>
      </c>
      <c r="AA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7" s="8">
        <f>IF( AND(ISNUMBER(Tabella2[[#This Row],[Mean AXIAL stress  (MPa)]]), ISNUMBER(Tabella2[[#This Row],[Area (mm^2)]])), Tabella2[[#This Row],[Mean AXIAL stress  (MPa)]]*Tabella2[[#This Row],[Area (mm^2)]], "Null")</f>
        <v>0</v>
      </c>
      <c r="AC37" s="8">
        <f>IF( AND(ISNUMBER(Tabella2[[#This Row],[Amplitute AXIAL stress  (MPa)]]), ISNUMBER(Tabella2[[#This Row],[Area (mm^2)]])), Tabella2[[#This Row],[Amplitute AXIAL stress  (MPa)]]*Tabella2[[#This Row],[Area (mm^2)]],"Null")</f>
        <v>16918.136286669491</v>
      </c>
      <c r="AD37" s="8">
        <f>IF( AND(ISNUMBER(Tabella2[[#This Row],[Amplitude AXIAL force (N)]]), ISNUMBER(Tabella2[[#This Row],[Mean AXIAL force (N)]])), Tabella2[[#This Row],[Amplitude AXIAL force (N)]]+Tabella2[[#This Row],[Mean AXIAL force (N)]],"Null")</f>
        <v>16918.136286669491</v>
      </c>
      <c r="AE3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109.902245629625</v>
      </c>
      <c r="AI3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8" spans="1:35" x14ac:dyDescent="0.25">
      <c r="A38" s="1" t="s">
        <v>90</v>
      </c>
      <c r="B38" s="1">
        <v>2018</v>
      </c>
      <c r="C38" s="1" t="s">
        <v>93</v>
      </c>
      <c r="D38" s="1" t="s">
        <v>84</v>
      </c>
      <c r="E38" s="8">
        <v>1016039.66239513</v>
      </c>
      <c r="F38" s="1" t="s">
        <v>34</v>
      </c>
      <c r="G38" s="1" t="s">
        <v>120</v>
      </c>
      <c r="H38" s="1" t="e" vm="2">
        <v>#VALUE!</v>
      </c>
      <c r="I38" s="1" t="s">
        <v>45</v>
      </c>
      <c r="J38" s="1" t="s">
        <v>64</v>
      </c>
      <c r="K38" s="1">
        <v>14</v>
      </c>
      <c r="L38" s="8">
        <f>PI()*(Tabella2[[#This Row],[Diameter (mm)]]/2)^2</f>
        <v>153.93804002589985</v>
      </c>
      <c r="M38" s="8">
        <f>(PI()*Tabella2[[#This Row],[Diameter (mm)]]^4)/32</f>
        <v>3771.4819806345467</v>
      </c>
      <c r="N38" s="1" t="s">
        <v>35</v>
      </c>
      <c r="O38" s="1" t="s">
        <v>35</v>
      </c>
      <c r="P38" s="1" t="s">
        <v>35</v>
      </c>
      <c r="Q38" s="1">
        <v>-1</v>
      </c>
      <c r="R38" s="1" t="s">
        <v>35</v>
      </c>
      <c r="S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8" s="1" t="s">
        <v>35</v>
      </c>
      <c r="U3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8">
        <v>110.556552616128</v>
      </c>
      <c r="W3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8" s="7" t="s">
        <v>35</v>
      </c>
      <c r="Y38" s="7" t="str">
        <f>Tabella2[[#This Row],[Mean RADIAL stress  (MPa)]]</f>
        <v>Null</v>
      </c>
      <c r="Z38" s="7" t="str">
        <f>Tabella2[[#This Row],[Amplitute RADIAL stress  (MPa)]]</f>
        <v>Null</v>
      </c>
      <c r="AA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8" s="8">
        <f>IF( AND(ISNUMBER(Tabella2[[#This Row],[Mean AXIAL stress  (MPa)]]), ISNUMBER(Tabella2[[#This Row],[Area (mm^2)]])), Tabella2[[#This Row],[Mean AXIAL stress  (MPa)]]*Tabella2[[#This Row],[Area (mm^2)]], "Null")</f>
        <v>0</v>
      </c>
      <c r="AC38" s="8">
        <f>IF( AND(ISNUMBER(Tabella2[[#This Row],[Amplitute AXIAL stress  (MPa)]]), ISNUMBER(Tabella2[[#This Row],[Area (mm^2)]])), Tabella2[[#This Row],[Amplitute AXIAL stress  (MPa)]]*Tabella2[[#This Row],[Area (mm^2)]],"Null")</f>
        <v>17018.859021747016</v>
      </c>
      <c r="AD38" s="8">
        <f>IF( AND(ISNUMBER(Tabella2[[#This Row],[Amplitude AXIAL force (N)]]), ISNUMBER(Tabella2[[#This Row],[Mean AXIAL force (N)]])), Tabella2[[#This Row],[Amplitude AXIAL force (N)]]+Tabella2[[#This Row],[Mean AXIAL force (N)]],"Null")</f>
        <v>17018.859021747016</v>
      </c>
      <c r="AE3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110.556552616128</v>
      </c>
      <c r="AI3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9" spans="1:35" x14ac:dyDescent="0.25">
      <c r="A39" s="1" t="s">
        <v>90</v>
      </c>
      <c r="B39" s="1">
        <v>2018</v>
      </c>
      <c r="C39" s="1" t="s">
        <v>93</v>
      </c>
      <c r="D39" s="1" t="s">
        <v>85</v>
      </c>
      <c r="E39" s="8">
        <v>1427365.2572614001</v>
      </c>
      <c r="F39" s="1" t="s">
        <v>34</v>
      </c>
      <c r="G39" s="1" t="s">
        <v>120</v>
      </c>
      <c r="H39" s="1" t="e" vm="2">
        <v>#VALUE!</v>
      </c>
      <c r="I39" s="1" t="s">
        <v>45</v>
      </c>
      <c r="J39" s="1" t="s">
        <v>64</v>
      </c>
      <c r="K39" s="1">
        <v>14</v>
      </c>
      <c r="L39" s="8">
        <f>PI()*(Tabella2[[#This Row],[Diameter (mm)]]/2)^2</f>
        <v>153.93804002589985</v>
      </c>
      <c r="M39" s="8">
        <f>(PI()*Tabella2[[#This Row],[Diameter (mm)]]^4)/32</f>
        <v>3771.4819806345467</v>
      </c>
      <c r="N39" s="1" t="s">
        <v>35</v>
      </c>
      <c r="O39" s="1" t="s">
        <v>35</v>
      </c>
      <c r="P39" s="1" t="s">
        <v>35</v>
      </c>
      <c r="Q39" s="1">
        <v>-1</v>
      </c>
      <c r="R39" s="1" t="s">
        <v>35</v>
      </c>
      <c r="S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9" s="1" t="s">
        <v>35</v>
      </c>
      <c r="U3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9">
        <v>95.1585761308299</v>
      </c>
      <c r="W3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9" s="7" t="s">
        <v>35</v>
      </c>
      <c r="Y39" s="7" t="str">
        <f>Tabella2[[#This Row],[Mean RADIAL stress  (MPa)]]</f>
        <v>Null</v>
      </c>
      <c r="Z39" s="7" t="str">
        <f>Tabella2[[#This Row],[Amplitute RADIAL stress  (MPa)]]</f>
        <v>Null</v>
      </c>
      <c r="AA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9" s="8">
        <f>IF( AND(ISNUMBER(Tabella2[[#This Row],[Mean AXIAL stress  (MPa)]]), ISNUMBER(Tabella2[[#This Row],[Area (mm^2)]])), Tabella2[[#This Row],[Mean AXIAL stress  (MPa)]]*Tabella2[[#This Row],[Area (mm^2)]], "Null")</f>
        <v>0</v>
      </c>
      <c r="AC39" s="8">
        <f>IF( AND(ISNUMBER(Tabella2[[#This Row],[Amplitute AXIAL stress  (MPa)]]), ISNUMBER(Tabella2[[#This Row],[Area (mm^2)]])), Tabella2[[#This Row],[Amplitute AXIAL stress  (MPa)]]*Tabella2[[#This Row],[Area (mm^2)]],"Null")</f>
        <v>14648.524701235332</v>
      </c>
      <c r="AD39" s="8">
        <f>IF( AND(ISNUMBER(Tabella2[[#This Row],[Amplitude AXIAL force (N)]]), ISNUMBER(Tabella2[[#This Row],[Mean AXIAL force (N)]])), Tabella2[[#This Row],[Amplitude AXIAL force (N)]]+Tabella2[[#This Row],[Mean AXIAL force (N)]],"Null")</f>
        <v>14648.524701235332</v>
      </c>
      <c r="AE3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95.1585761308299</v>
      </c>
      <c r="AI3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0" spans="1:35" x14ac:dyDescent="0.25">
      <c r="A40" s="1" t="s">
        <v>90</v>
      </c>
      <c r="B40" s="1">
        <v>2018</v>
      </c>
      <c r="C40" s="1" t="s">
        <v>93</v>
      </c>
      <c r="D40" s="1" t="s">
        <v>86</v>
      </c>
      <c r="E40" s="1">
        <v>1452386.7941518</v>
      </c>
      <c r="F40" s="1" t="s">
        <v>34</v>
      </c>
      <c r="G40" s="1" t="s">
        <v>120</v>
      </c>
      <c r="H40" s="1" t="e" vm="2">
        <v>#VALUE!</v>
      </c>
      <c r="I40" s="1" t="s">
        <v>45</v>
      </c>
      <c r="J40" s="1" t="s">
        <v>64</v>
      </c>
      <c r="K40" s="1">
        <v>14</v>
      </c>
      <c r="L40" s="8">
        <f>PI()*(Tabella2[[#This Row],[Diameter (mm)]]/2)^2</f>
        <v>153.93804002589985</v>
      </c>
      <c r="M40" s="8">
        <f>(PI()*Tabella2[[#This Row],[Diameter (mm)]]^4)/32</f>
        <v>3771.4819806345467</v>
      </c>
      <c r="N40" s="1" t="s">
        <v>35</v>
      </c>
      <c r="O40" s="1" t="s">
        <v>35</v>
      </c>
      <c r="P40" s="1" t="s">
        <v>35</v>
      </c>
      <c r="Q40" s="1">
        <v>-1</v>
      </c>
      <c r="R40" s="1" t="s">
        <v>35</v>
      </c>
      <c r="S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0" s="1" t="s">
        <v>35</v>
      </c>
      <c r="U4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0">
        <v>100.23993486787001</v>
      </c>
      <c r="W4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0" s="7" t="s">
        <v>35</v>
      </c>
      <c r="Y40" s="7" t="str">
        <f>Tabella2[[#This Row],[Mean RADIAL stress  (MPa)]]</f>
        <v>Null</v>
      </c>
      <c r="Z40" s="7" t="str">
        <f>Tabella2[[#This Row],[Amplitute RADIAL stress  (MPa)]]</f>
        <v>Null</v>
      </c>
      <c r="AA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0" s="8">
        <f>IF( AND(ISNUMBER(Tabella2[[#This Row],[Mean AXIAL stress  (MPa)]]), ISNUMBER(Tabella2[[#This Row],[Area (mm^2)]])), Tabella2[[#This Row],[Mean AXIAL stress  (MPa)]]*Tabella2[[#This Row],[Area (mm^2)]], "Null")</f>
        <v>0</v>
      </c>
      <c r="AC40" s="8">
        <f>IF( AND(ISNUMBER(Tabella2[[#This Row],[Amplitute AXIAL stress  (MPa)]]), ISNUMBER(Tabella2[[#This Row],[Area (mm^2)]])), Tabella2[[#This Row],[Amplitute AXIAL stress  (MPa)]]*Tabella2[[#This Row],[Area (mm^2)]],"Null")</f>
        <v>15430.739105883767</v>
      </c>
      <c r="AD40" s="8">
        <f>IF( AND(ISNUMBER(Tabella2[[#This Row],[Amplitude AXIAL force (N)]]), ISNUMBER(Tabella2[[#This Row],[Mean AXIAL force (N)]])), Tabella2[[#This Row],[Amplitude AXIAL force (N)]]+Tabella2[[#This Row],[Mean AXIAL force (N)]],"Null")</f>
        <v>15430.739105883767</v>
      </c>
      <c r="AE4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100.23993486787001</v>
      </c>
      <c r="AI4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1" spans="1:35" x14ac:dyDescent="0.25">
      <c r="A41" s="1" t="s">
        <v>90</v>
      </c>
      <c r="B41" s="1">
        <v>2018</v>
      </c>
      <c r="C41" s="1" t="s">
        <v>93</v>
      </c>
      <c r="D41" s="1" t="s">
        <v>98</v>
      </c>
      <c r="E41" s="1">
        <v>1722441.88711992</v>
      </c>
      <c r="F41" s="1" t="s">
        <v>34</v>
      </c>
      <c r="G41" s="1" t="s">
        <v>120</v>
      </c>
      <c r="H41" s="1" t="e" vm="2">
        <v>#VALUE!</v>
      </c>
      <c r="I41" s="1" t="s">
        <v>45</v>
      </c>
      <c r="J41" s="1" t="s">
        <v>64</v>
      </c>
      <c r="K41" s="1">
        <v>14</v>
      </c>
      <c r="L41" s="8">
        <f>PI()*(Tabella2[[#This Row],[Diameter (mm)]]/2)^2</f>
        <v>153.93804002589985</v>
      </c>
      <c r="M41" s="8">
        <f>(PI()*Tabella2[[#This Row],[Diameter (mm)]]^4)/32</f>
        <v>3771.4819806345467</v>
      </c>
      <c r="N41" s="1" t="s">
        <v>35</v>
      </c>
      <c r="O41" s="1" t="s">
        <v>35</v>
      </c>
      <c r="P41" s="1" t="s">
        <v>35</v>
      </c>
      <c r="Q41" s="1">
        <v>-1</v>
      </c>
      <c r="R41" s="1" t="s">
        <v>35</v>
      </c>
      <c r="S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1" s="1" t="s">
        <v>35</v>
      </c>
      <c r="U4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1">
        <v>95.695112020103494</v>
      </c>
      <c r="W4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1" s="7" t="s">
        <v>35</v>
      </c>
      <c r="Y41" s="7" t="str">
        <f>Tabella2[[#This Row],[Mean RADIAL stress  (MPa)]]</f>
        <v>Null</v>
      </c>
      <c r="Z41" s="7" t="str">
        <f>Tabella2[[#This Row],[Amplitute RADIAL stress  (MPa)]]</f>
        <v>Null</v>
      </c>
      <c r="AA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1" s="8">
        <f>IF( AND(ISNUMBER(Tabella2[[#This Row],[Mean AXIAL stress  (MPa)]]), ISNUMBER(Tabella2[[#This Row],[Area (mm^2)]])), Tabella2[[#This Row],[Mean AXIAL stress  (MPa)]]*Tabella2[[#This Row],[Area (mm^2)]], "Null")</f>
        <v>0</v>
      </c>
      <c r="AC41" s="8">
        <f>IF( AND(ISNUMBER(Tabella2[[#This Row],[Amplitute AXIAL stress  (MPa)]]), ISNUMBER(Tabella2[[#This Row],[Area (mm^2)]])), Tabella2[[#This Row],[Amplitute AXIAL stress  (MPa)]]*Tabella2[[#This Row],[Area (mm^2)]],"Null")</f>
        <v>14731.117984433662</v>
      </c>
      <c r="AD41" s="8">
        <f>IF( AND(ISNUMBER(Tabella2[[#This Row],[Amplitude AXIAL force (N)]]), ISNUMBER(Tabella2[[#This Row],[Mean AXIAL force (N)]])), Tabella2[[#This Row],[Amplitude AXIAL force (N)]]+Tabella2[[#This Row],[Mean AXIAL force (N)]],"Null")</f>
        <v>14731.117984433662</v>
      </c>
      <c r="AE4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95.695112020103494</v>
      </c>
      <c r="AI4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2" spans="1:35" x14ac:dyDescent="0.25">
      <c r="A42" s="1" t="s">
        <v>90</v>
      </c>
      <c r="B42" s="1">
        <v>2018</v>
      </c>
      <c r="C42" s="1" t="s">
        <v>93</v>
      </c>
      <c r="D42" s="1" t="s">
        <v>99</v>
      </c>
      <c r="E42" s="1">
        <v>2271238.7387154</v>
      </c>
      <c r="F42" s="1" t="s">
        <v>34</v>
      </c>
      <c r="G42" s="1" t="s">
        <v>120</v>
      </c>
      <c r="H42" s="1" t="e" vm="2">
        <v>#VALUE!</v>
      </c>
      <c r="I42" s="1" t="s">
        <v>45</v>
      </c>
      <c r="J42" s="1" t="s">
        <v>64</v>
      </c>
      <c r="K42" s="1">
        <v>14</v>
      </c>
      <c r="L42" s="8">
        <f>PI()*(Tabella2[[#This Row],[Diameter (mm)]]/2)^2</f>
        <v>153.93804002589985</v>
      </c>
      <c r="M42" s="8">
        <f>(PI()*Tabella2[[#This Row],[Diameter (mm)]]^4)/32</f>
        <v>3771.4819806345467</v>
      </c>
      <c r="N42" s="1" t="s">
        <v>35</v>
      </c>
      <c r="O42" s="1" t="s">
        <v>35</v>
      </c>
      <c r="P42" s="1" t="s">
        <v>35</v>
      </c>
      <c r="Q42" s="1">
        <v>-1</v>
      </c>
      <c r="R42" s="1" t="s">
        <v>35</v>
      </c>
      <c r="S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2" s="1" t="s">
        <v>35</v>
      </c>
      <c r="U4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2">
        <v>90.904446999322104</v>
      </c>
      <c r="W4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2" s="7" t="s">
        <v>35</v>
      </c>
      <c r="Y42" s="7" t="str">
        <f>Tabella2[[#This Row],[Mean RADIAL stress  (MPa)]]</f>
        <v>Null</v>
      </c>
      <c r="Z42" s="7" t="str">
        <f>Tabella2[[#This Row],[Amplitute RADIAL stress  (MPa)]]</f>
        <v>Null</v>
      </c>
      <c r="AA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2" s="8">
        <f>IF( AND(ISNUMBER(Tabella2[[#This Row],[Mean AXIAL stress  (MPa)]]), ISNUMBER(Tabella2[[#This Row],[Area (mm^2)]])), Tabella2[[#This Row],[Mean AXIAL stress  (MPa)]]*Tabella2[[#This Row],[Area (mm^2)]], "Null")</f>
        <v>0</v>
      </c>
      <c r="AC42" s="8">
        <f>IF( AND(ISNUMBER(Tabella2[[#This Row],[Amplitute AXIAL stress  (MPa)]]), ISNUMBER(Tabella2[[#This Row],[Area (mm^2)]])), Tabella2[[#This Row],[Amplitute AXIAL stress  (MPa)]]*Tabella2[[#This Row],[Area (mm^2)]],"Null")</f>
        <v>13993.652400713938</v>
      </c>
      <c r="AD42" s="8">
        <f>IF( AND(ISNUMBER(Tabella2[[#This Row],[Amplitude AXIAL force (N)]]), ISNUMBER(Tabella2[[#This Row],[Mean AXIAL force (N)]])), Tabella2[[#This Row],[Amplitude AXIAL force (N)]]+Tabella2[[#This Row],[Mean AXIAL force (N)]],"Null")</f>
        <v>13993.652400713938</v>
      </c>
      <c r="AE4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90.904446999322104</v>
      </c>
      <c r="AI4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3" spans="1:35" x14ac:dyDescent="0.25">
      <c r="A43" s="1" t="s">
        <v>90</v>
      </c>
      <c r="B43" s="1">
        <v>2018</v>
      </c>
      <c r="C43" s="1" t="s">
        <v>93</v>
      </c>
      <c r="D43" s="1" t="s">
        <v>100</v>
      </c>
      <c r="E43" s="1">
        <v>2466545.3859769301</v>
      </c>
      <c r="F43" s="1" t="s">
        <v>34</v>
      </c>
      <c r="G43" s="1" t="s">
        <v>120</v>
      </c>
      <c r="H43" s="1" t="e" vm="2">
        <v>#VALUE!</v>
      </c>
      <c r="I43" s="1" t="s">
        <v>45</v>
      </c>
      <c r="J43" s="1" t="s">
        <v>64</v>
      </c>
      <c r="K43" s="1">
        <v>14</v>
      </c>
      <c r="L43" s="8">
        <f>PI()*(Tabella2[[#This Row],[Diameter (mm)]]/2)^2</f>
        <v>153.93804002589985</v>
      </c>
      <c r="M43" s="8">
        <f>(PI()*Tabella2[[#This Row],[Diameter (mm)]]^4)/32</f>
        <v>3771.4819806345467</v>
      </c>
      <c r="N43" s="1" t="s">
        <v>35</v>
      </c>
      <c r="O43" s="1" t="s">
        <v>35</v>
      </c>
      <c r="P43" s="1" t="s">
        <v>35</v>
      </c>
      <c r="Q43" s="1">
        <v>-1</v>
      </c>
      <c r="R43" s="1" t="s">
        <v>35</v>
      </c>
      <c r="S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3" s="1" t="s">
        <v>35</v>
      </c>
      <c r="U4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3">
        <v>94.7821709791952</v>
      </c>
      <c r="W4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3" s="7" t="s">
        <v>35</v>
      </c>
      <c r="Y43" s="7" t="str">
        <f>Tabella2[[#This Row],[Mean RADIAL stress  (MPa)]]</f>
        <v>Null</v>
      </c>
      <c r="Z43" s="7" t="str">
        <f>Tabella2[[#This Row],[Amplitute RADIAL stress  (MPa)]]</f>
        <v>Null</v>
      </c>
      <c r="AA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3" s="8">
        <f>IF( AND(ISNUMBER(Tabella2[[#This Row],[Mean AXIAL stress  (MPa)]]), ISNUMBER(Tabella2[[#This Row],[Area (mm^2)]])), Tabella2[[#This Row],[Mean AXIAL stress  (MPa)]]*Tabella2[[#This Row],[Area (mm^2)]], "Null")</f>
        <v>0</v>
      </c>
      <c r="AC43" s="8">
        <f>IF( AND(ISNUMBER(Tabella2[[#This Row],[Amplitute AXIAL stress  (MPa)]]), ISNUMBER(Tabella2[[#This Row],[Area (mm^2)]])), Tabella2[[#This Row],[Amplitute AXIAL stress  (MPa)]]*Tabella2[[#This Row],[Area (mm^2)]],"Null")</f>
        <v>14590.581629937034</v>
      </c>
      <c r="AD43" s="8">
        <f>IF( AND(ISNUMBER(Tabella2[[#This Row],[Amplitude AXIAL force (N)]]), ISNUMBER(Tabella2[[#This Row],[Mean AXIAL force (N)]])), Tabella2[[#This Row],[Amplitude AXIAL force (N)]]+Tabella2[[#This Row],[Mean AXIAL force (N)]],"Null")</f>
        <v>14590.581629937034</v>
      </c>
      <c r="AE4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94.7821709791952</v>
      </c>
      <c r="AI4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4" spans="1:35" x14ac:dyDescent="0.25">
      <c r="A44" s="1" t="s">
        <v>90</v>
      </c>
      <c r="B44" s="1">
        <v>2018</v>
      </c>
      <c r="C44" s="1" t="s">
        <v>93</v>
      </c>
      <c r="D44" s="1" t="s">
        <v>101</v>
      </c>
      <c r="E44" s="1">
        <v>3306323.2095004702</v>
      </c>
      <c r="F44" s="1" t="s">
        <v>34</v>
      </c>
      <c r="G44" s="1" t="s">
        <v>120</v>
      </c>
      <c r="H44" s="1" t="e" vm="2">
        <v>#VALUE!</v>
      </c>
      <c r="I44" s="1" t="s">
        <v>45</v>
      </c>
      <c r="J44" s="1" t="s">
        <v>64</v>
      </c>
      <c r="K44" s="1">
        <v>14</v>
      </c>
      <c r="L44" s="8">
        <f>PI()*(Tabella2[[#This Row],[Diameter (mm)]]/2)^2</f>
        <v>153.93804002589985</v>
      </c>
      <c r="M44" s="8">
        <f>(PI()*Tabella2[[#This Row],[Diameter (mm)]]^4)/32</f>
        <v>3771.4819806345467</v>
      </c>
      <c r="N44" s="1" t="s">
        <v>35</v>
      </c>
      <c r="O44" s="1" t="s">
        <v>35</v>
      </c>
      <c r="P44" s="1" t="s">
        <v>35</v>
      </c>
      <c r="Q44" s="1">
        <v>-1</v>
      </c>
      <c r="R44" s="1" t="s">
        <v>35</v>
      </c>
      <c r="S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4" s="1" t="s">
        <v>35</v>
      </c>
      <c r="U4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4">
        <v>90.5098240922689</v>
      </c>
      <c r="W4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4" s="7" t="s">
        <v>35</v>
      </c>
      <c r="Y44" s="7" t="str">
        <f>Tabella2[[#This Row],[Mean RADIAL stress  (MPa)]]</f>
        <v>Null</v>
      </c>
      <c r="Z44" s="7" t="str">
        <f>Tabella2[[#This Row],[Amplitute RADIAL stress  (MPa)]]</f>
        <v>Null</v>
      </c>
      <c r="AA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4" s="8">
        <f>IF( AND(ISNUMBER(Tabella2[[#This Row],[Mean AXIAL stress  (MPa)]]), ISNUMBER(Tabella2[[#This Row],[Area (mm^2)]])), Tabella2[[#This Row],[Mean AXIAL stress  (MPa)]]*Tabella2[[#This Row],[Area (mm^2)]], "Null")</f>
        <v>0</v>
      </c>
      <c r="AC44" s="8">
        <f>IF( AND(ISNUMBER(Tabella2[[#This Row],[Amplitute AXIAL stress  (MPa)]]), ISNUMBER(Tabella2[[#This Row],[Area (mm^2)]])), Tabella2[[#This Row],[Amplitute AXIAL stress  (MPa)]]*Tabella2[[#This Row],[Area (mm^2)]],"Null")</f>
        <v>13932.904923852844</v>
      </c>
      <c r="AD44" s="8">
        <f>IF( AND(ISNUMBER(Tabella2[[#This Row],[Amplitude AXIAL force (N)]]), ISNUMBER(Tabella2[[#This Row],[Mean AXIAL force (N)]])), Tabella2[[#This Row],[Amplitude AXIAL force (N)]]+Tabella2[[#This Row],[Mean AXIAL force (N)]],"Null")</f>
        <v>13932.904923852844</v>
      </c>
      <c r="AE4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90.5098240922689</v>
      </c>
      <c r="AI4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5" spans="1:35" x14ac:dyDescent="0.25">
      <c r="A45" s="1" t="s">
        <v>90</v>
      </c>
      <c r="B45" s="1">
        <v>2018</v>
      </c>
      <c r="C45" s="1" t="s">
        <v>93</v>
      </c>
      <c r="D45" s="1" t="s">
        <v>102</v>
      </c>
      <c r="E45" s="1">
        <v>3583503.2049856298</v>
      </c>
      <c r="F45" s="1" t="s">
        <v>34</v>
      </c>
      <c r="G45" s="1" t="s">
        <v>120</v>
      </c>
      <c r="H45" s="1" t="e" vm="2">
        <v>#VALUE!</v>
      </c>
      <c r="I45" s="1" t="s">
        <v>45</v>
      </c>
      <c r="J45" s="1" t="s">
        <v>64</v>
      </c>
      <c r="K45" s="1">
        <v>14</v>
      </c>
      <c r="L45" s="8">
        <f>PI()*(Tabella2[[#This Row],[Diameter (mm)]]/2)^2</f>
        <v>153.93804002589985</v>
      </c>
      <c r="M45" s="8">
        <f>(PI()*Tabella2[[#This Row],[Diameter (mm)]]^4)/32</f>
        <v>3771.4819806345467</v>
      </c>
      <c r="N45" s="1" t="s">
        <v>35</v>
      </c>
      <c r="O45" s="1" t="s">
        <v>35</v>
      </c>
      <c r="P45" s="1" t="s">
        <v>35</v>
      </c>
      <c r="Q45" s="1">
        <v>-1</v>
      </c>
      <c r="R45" s="1" t="s">
        <v>35</v>
      </c>
      <c r="S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5" s="1" t="s">
        <v>35</v>
      </c>
      <c r="U4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5">
        <v>85.495108692187898</v>
      </c>
      <c r="W4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5" s="7" t="s">
        <v>35</v>
      </c>
      <c r="Y45" s="7" t="str">
        <f>Tabella2[[#This Row],[Mean RADIAL stress  (MPa)]]</f>
        <v>Null</v>
      </c>
      <c r="Z45" s="7" t="str">
        <f>Tabella2[[#This Row],[Amplitute RADIAL stress  (MPa)]]</f>
        <v>Null</v>
      </c>
      <c r="AA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5" s="8">
        <f>IF( AND(ISNUMBER(Tabella2[[#This Row],[Mean AXIAL stress  (MPa)]]), ISNUMBER(Tabella2[[#This Row],[Area (mm^2)]])), Tabella2[[#This Row],[Mean AXIAL stress  (MPa)]]*Tabella2[[#This Row],[Area (mm^2)]], "Null")</f>
        <v>0</v>
      </c>
      <c r="AC45" s="8">
        <f>IF( AND(ISNUMBER(Tabella2[[#This Row],[Amplitute AXIAL stress  (MPa)]]), ISNUMBER(Tabella2[[#This Row],[Area (mm^2)]])), Tabella2[[#This Row],[Amplitute AXIAL stress  (MPa)]]*Tabella2[[#This Row],[Area (mm^2)]],"Null")</f>
        <v>13160.949463876679</v>
      </c>
      <c r="AD45" s="8">
        <f>IF( AND(ISNUMBER(Tabella2[[#This Row],[Amplitude AXIAL force (N)]]), ISNUMBER(Tabella2[[#This Row],[Mean AXIAL force (N)]])), Tabella2[[#This Row],[Amplitude AXIAL force (N)]]+Tabella2[[#This Row],[Mean AXIAL force (N)]],"Null")</f>
        <v>13160.949463876679</v>
      </c>
      <c r="AE4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85.495108692187898</v>
      </c>
      <c r="AI4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6" spans="1:35" x14ac:dyDescent="0.25">
      <c r="A46" s="1" t="s">
        <v>90</v>
      </c>
      <c r="B46" s="1">
        <v>2018</v>
      </c>
      <c r="C46" s="1" t="s">
        <v>93</v>
      </c>
      <c r="D46" s="1" t="s">
        <v>103</v>
      </c>
      <c r="E46" s="1">
        <v>3830217.7087692898</v>
      </c>
      <c r="F46" s="1" t="s">
        <v>34</v>
      </c>
      <c r="G46" s="1" t="s">
        <v>120</v>
      </c>
      <c r="H46" s="1" t="e" vm="2">
        <v>#VALUE!</v>
      </c>
      <c r="I46" s="1" t="s">
        <v>45</v>
      </c>
      <c r="J46" s="1" t="s">
        <v>64</v>
      </c>
      <c r="K46" s="1">
        <v>14</v>
      </c>
      <c r="L46" s="8">
        <f>PI()*(Tabella2[[#This Row],[Diameter (mm)]]/2)^2</f>
        <v>153.93804002589985</v>
      </c>
      <c r="M46" s="8">
        <f>(PI()*Tabella2[[#This Row],[Diameter (mm)]]^4)/32</f>
        <v>3771.4819806345467</v>
      </c>
      <c r="N46" s="1" t="s">
        <v>35</v>
      </c>
      <c r="O46" s="1" t="s">
        <v>35</v>
      </c>
      <c r="P46" s="1" t="s">
        <v>35</v>
      </c>
      <c r="Q46" s="1">
        <v>-1</v>
      </c>
      <c r="R46" s="1" t="s">
        <v>35</v>
      </c>
      <c r="S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6" s="1" t="s">
        <v>35</v>
      </c>
      <c r="U4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6">
        <v>91.0117596297669</v>
      </c>
      <c r="W4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6" s="7" t="s">
        <v>35</v>
      </c>
      <c r="Y46" s="7" t="str">
        <f>Tabella2[[#This Row],[Mean RADIAL stress  (MPa)]]</f>
        <v>Null</v>
      </c>
      <c r="Z46" s="7" t="str">
        <f>Tabella2[[#This Row],[Amplitute RADIAL stress  (MPa)]]</f>
        <v>Null</v>
      </c>
      <c r="AA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6" s="8">
        <f>IF( AND(ISNUMBER(Tabella2[[#This Row],[Mean AXIAL stress  (MPa)]]), ISNUMBER(Tabella2[[#This Row],[Area (mm^2)]])), Tabella2[[#This Row],[Mean AXIAL stress  (MPa)]]*Tabella2[[#This Row],[Area (mm^2)]], "Null")</f>
        <v>0</v>
      </c>
      <c r="AC46" s="8">
        <f>IF( AND(ISNUMBER(Tabella2[[#This Row],[Amplitute AXIAL stress  (MPa)]]), ISNUMBER(Tabella2[[#This Row],[Area (mm^2)]])), Tabella2[[#This Row],[Amplitute AXIAL stress  (MPa)]]*Tabella2[[#This Row],[Area (mm^2)]],"Null")</f>
        <v>14010.171896714633</v>
      </c>
      <c r="AD46" s="8">
        <f>IF( AND(ISNUMBER(Tabella2[[#This Row],[Amplitude AXIAL force (N)]]), ISNUMBER(Tabella2[[#This Row],[Mean AXIAL force (N)]])), Tabella2[[#This Row],[Amplitude AXIAL force (N)]]+Tabella2[[#This Row],[Mean AXIAL force (N)]],"Null")</f>
        <v>14010.171896714633</v>
      </c>
      <c r="AE4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91.0117596297669</v>
      </c>
      <c r="AI4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7" spans="1:35" x14ac:dyDescent="0.25">
      <c r="A47" s="1" t="s">
        <v>90</v>
      </c>
      <c r="B47" s="1">
        <v>2018</v>
      </c>
      <c r="C47" s="1" t="s">
        <v>93</v>
      </c>
      <c r="D47" s="1" t="s">
        <v>104</v>
      </c>
      <c r="E47" s="1">
        <v>5714059.5241061598</v>
      </c>
      <c r="F47" s="1" t="s">
        <v>34</v>
      </c>
      <c r="G47" s="1" t="s">
        <v>120</v>
      </c>
      <c r="H47" s="1" t="e" vm="2">
        <v>#VALUE!</v>
      </c>
      <c r="I47" s="1" t="s">
        <v>45</v>
      </c>
      <c r="J47" s="1" t="s">
        <v>64</v>
      </c>
      <c r="K47" s="1">
        <v>14</v>
      </c>
      <c r="L47" s="8">
        <f>PI()*(Tabella2[[#This Row],[Diameter (mm)]]/2)^2</f>
        <v>153.93804002589985</v>
      </c>
      <c r="M47" s="8">
        <f>(PI()*Tabella2[[#This Row],[Diameter (mm)]]^4)/32</f>
        <v>3771.4819806345467</v>
      </c>
      <c r="N47" s="1" t="s">
        <v>35</v>
      </c>
      <c r="O47" s="1" t="s">
        <v>35</v>
      </c>
      <c r="P47" s="1" t="s">
        <v>35</v>
      </c>
      <c r="Q47" s="1">
        <v>-1</v>
      </c>
      <c r="R47" s="1" t="s">
        <v>35</v>
      </c>
      <c r="S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7" s="1" t="s">
        <v>35</v>
      </c>
      <c r="U4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7">
        <v>90.621682407055005</v>
      </c>
      <c r="W4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7" s="7" t="s">
        <v>35</v>
      </c>
      <c r="Y47" s="7" t="str">
        <f>Tabella2[[#This Row],[Mean RADIAL stress  (MPa)]]</f>
        <v>Null</v>
      </c>
      <c r="Z47" s="7" t="str">
        <f>Tabella2[[#This Row],[Amplitute RADIAL stress  (MPa)]]</f>
        <v>Null</v>
      </c>
      <c r="AA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7" s="8">
        <f>IF( AND(ISNUMBER(Tabella2[[#This Row],[Mean AXIAL stress  (MPa)]]), ISNUMBER(Tabella2[[#This Row],[Area (mm^2)]])), Tabella2[[#This Row],[Mean AXIAL stress  (MPa)]]*Tabella2[[#This Row],[Area (mm^2)]], "Null")</f>
        <v>0</v>
      </c>
      <c r="AC47" s="8">
        <f>IF( AND(ISNUMBER(Tabella2[[#This Row],[Amplitute AXIAL stress  (MPa)]]), ISNUMBER(Tabella2[[#This Row],[Area (mm^2)]])), Tabella2[[#This Row],[Amplitute AXIAL stress  (MPa)]]*Tabella2[[#This Row],[Area (mm^2)]],"Null")</f>
        <v>13950.124173591617</v>
      </c>
      <c r="AD47" s="8">
        <f>IF( AND(ISNUMBER(Tabella2[[#This Row],[Amplitude AXIAL force (N)]]), ISNUMBER(Tabella2[[#This Row],[Mean AXIAL force (N)]])), Tabella2[[#This Row],[Amplitude AXIAL force (N)]]+Tabella2[[#This Row],[Mean AXIAL force (N)]],"Null")</f>
        <v>13950.124173591617</v>
      </c>
      <c r="AE4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90.621682407055005</v>
      </c>
      <c r="AI4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8" spans="1:35" x14ac:dyDescent="0.25">
      <c r="A48" s="1" t="s">
        <v>50</v>
      </c>
      <c r="B48" s="1">
        <v>2022</v>
      </c>
      <c r="C48" s="1" t="s">
        <v>92</v>
      </c>
      <c r="D48" s="1" t="s">
        <v>105</v>
      </c>
      <c r="E48" s="1">
        <v>1178000</v>
      </c>
      <c r="F48" s="1" t="s">
        <v>34</v>
      </c>
      <c r="G48" s="1" t="s">
        <v>120</v>
      </c>
      <c r="H48" s="1" t="e" vm="3">
        <v>#VALUE!</v>
      </c>
      <c r="I48" s="1" t="s">
        <v>45</v>
      </c>
      <c r="J48" s="1" t="s">
        <v>64</v>
      </c>
      <c r="K48" s="1">
        <v>14</v>
      </c>
      <c r="L48" s="8">
        <f>PI()*(Tabella2[[#This Row],[Diameter (mm)]]/2)^2</f>
        <v>153.93804002589985</v>
      </c>
      <c r="M48" s="8">
        <f>(PI()*Tabella2[[#This Row],[Diameter (mm)]]^4)/32</f>
        <v>3771.4819806345467</v>
      </c>
      <c r="N48" s="1" t="s">
        <v>35</v>
      </c>
      <c r="O48" s="1" t="s">
        <v>35</v>
      </c>
      <c r="P48" s="1" t="s">
        <v>35</v>
      </c>
      <c r="Q48" s="1">
        <v>-1</v>
      </c>
      <c r="R48" s="1" t="s">
        <v>35</v>
      </c>
      <c r="S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8" s="1" t="s">
        <v>35</v>
      </c>
      <c r="U4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8">
        <v>100</v>
      </c>
      <c r="W4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8" s="7" t="s">
        <v>35</v>
      </c>
      <c r="Y48" s="7" t="str">
        <f>Tabella2[[#This Row],[Mean RADIAL stress  (MPa)]]</f>
        <v>Null</v>
      </c>
      <c r="Z48" s="7" t="str">
        <f>Tabella2[[#This Row],[Amplitute RADIAL stress  (MPa)]]</f>
        <v>Null</v>
      </c>
      <c r="AA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8" s="8">
        <f>IF( AND(ISNUMBER(Tabella2[[#This Row],[Mean AXIAL stress  (MPa)]]), ISNUMBER(Tabella2[[#This Row],[Area (mm^2)]])), Tabella2[[#This Row],[Mean AXIAL stress  (MPa)]]*Tabella2[[#This Row],[Area (mm^2)]], "Null")</f>
        <v>0</v>
      </c>
      <c r="AC48" s="8">
        <f>IF( AND(ISNUMBER(Tabella2[[#This Row],[Amplitute AXIAL stress  (MPa)]]), ISNUMBER(Tabella2[[#This Row],[Area (mm^2)]])), Tabella2[[#This Row],[Amplitute AXIAL stress  (MPa)]]*Tabella2[[#This Row],[Area (mm^2)]],"Null")</f>
        <v>15393.804002589985</v>
      </c>
      <c r="AD48" s="8">
        <f>IF( AND(ISNUMBER(Tabella2[[#This Row],[Amplitude AXIAL force (N)]]), ISNUMBER(Tabella2[[#This Row],[Mean AXIAL force (N)]])), Tabella2[[#This Row],[Amplitude AXIAL force (N)]]+Tabella2[[#This Row],[Mean AXIAL force (N)]],"Null")</f>
        <v>15393.804002589985</v>
      </c>
      <c r="AE4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4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9" spans="1:35" x14ac:dyDescent="0.25">
      <c r="A49" s="1" t="s">
        <v>50</v>
      </c>
      <c r="B49" s="1">
        <v>2022</v>
      </c>
      <c r="C49" s="1" t="s">
        <v>92</v>
      </c>
      <c r="D49" s="1" t="s">
        <v>106</v>
      </c>
      <c r="E49" s="1">
        <v>204561</v>
      </c>
      <c r="F49" s="1" t="s">
        <v>34</v>
      </c>
      <c r="G49" s="1" t="s">
        <v>120</v>
      </c>
      <c r="H49" s="1" t="e" vm="3">
        <v>#VALUE!</v>
      </c>
      <c r="I49" s="1" t="s">
        <v>45</v>
      </c>
      <c r="J49" s="1" t="s">
        <v>64</v>
      </c>
      <c r="K49" s="1">
        <v>14</v>
      </c>
      <c r="L49" s="8">
        <f>PI()*(Tabella2[[#This Row],[Diameter (mm)]]/2)^2</f>
        <v>153.93804002589985</v>
      </c>
      <c r="M49" s="8">
        <f>(PI()*Tabella2[[#This Row],[Diameter (mm)]]^4)/32</f>
        <v>3771.4819806345467</v>
      </c>
      <c r="N49" s="1" t="s">
        <v>35</v>
      </c>
      <c r="O49" s="1" t="s">
        <v>35</v>
      </c>
      <c r="P49" s="1" t="s">
        <v>35</v>
      </c>
      <c r="Q49" s="1">
        <v>-1</v>
      </c>
      <c r="R49" s="1" t="s">
        <v>35</v>
      </c>
      <c r="S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9" s="1" t="s">
        <v>35</v>
      </c>
      <c r="U4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9">
        <v>150</v>
      </c>
      <c r="W4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9" s="7" t="s">
        <v>35</v>
      </c>
      <c r="Y49" s="7" t="str">
        <f>Tabella2[[#This Row],[Mean RADIAL stress  (MPa)]]</f>
        <v>Null</v>
      </c>
      <c r="Z49" s="7" t="str">
        <f>Tabella2[[#This Row],[Amplitute RADIAL stress  (MPa)]]</f>
        <v>Null</v>
      </c>
      <c r="AA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9" s="8">
        <f>IF( AND(ISNUMBER(Tabella2[[#This Row],[Mean AXIAL stress  (MPa)]]), ISNUMBER(Tabella2[[#This Row],[Area (mm^2)]])), Tabella2[[#This Row],[Mean AXIAL stress  (MPa)]]*Tabella2[[#This Row],[Area (mm^2)]], "Null")</f>
        <v>0</v>
      </c>
      <c r="AC49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49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4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4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0" spans="1:35" x14ac:dyDescent="0.25">
      <c r="A50" s="1" t="s">
        <v>50</v>
      </c>
      <c r="B50" s="1">
        <v>2022</v>
      </c>
      <c r="C50" s="1" t="s">
        <v>92</v>
      </c>
      <c r="D50" s="1" t="s">
        <v>107</v>
      </c>
      <c r="E50" s="1">
        <v>510918</v>
      </c>
      <c r="F50" s="1" t="s">
        <v>34</v>
      </c>
      <c r="G50" s="1" t="s">
        <v>120</v>
      </c>
      <c r="H50" s="1" t="e" vm="3">
        <v>#VALUE!</v>
      </c>
      <c r="I50" s="1" t="s">
        <v>45</v>
      </c>
      <c r="J50" s="1" t="s">
        <v>64</v>
      </c>
      <c r="K50" s="1">
        <v>14</v>
      </c>
      <c r="L50" s="8">
        <f>PI()*(Tabella2[[#This Row],[Diameter (mm)]]/2)^2</f>
        <v>153.93804002589985</v>
      </c>
      <c r="M50" s="8">
        <f>(PI()*Tabella2[[#This Row],[Diameter (mm)]]^4)/32</f>
        <v>3771.4819806345467</v>
      </c>
      <c r="N50" s="1" t="s">
        <v>35</v>
      </c>
      <c r="O50" s="1" t="s">
        <v>35</v>
      </c>
      <c r="P50" s="1" t="s">
        <v>35</v>
      </c>
      <c r="Q50" s="1">
        <v>-1</v>
      </c>
      <c r="R50" s="1" t="s">
        <v>35</v>
      </c>
      <c r="S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0" s="1" t="s">
        <v>35</v>
      </c>
      <c r="U5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0">
        <v>100</v>
      </c>
      <c r="W5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0" s="7" t="s">
        <v>35</v>
      </c>
      <c r="Y50" s="7" t="str">
        <f>Tabella2[[#This Row],[Mean RADIAL stress  (MPa)]]</f>
        <v>Null</v>
      </c>
      <c r="Z50" s="7" t="str">
        <f>Tabella2[[#This Row],[Amplitute RADIAL stress  (MPa)]]</f>
        <v>Null</v>
      </c>
      <c r="AA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0" s="8">
        <f>IF( AND(ISNUMBER(Tabella2[[#This Row],[Mean AXIAL stress  (MPa)]]), ISNUMBER(Tabella2[[#This Row],[Area (mm^2)]])), Tabella2[[#This Row],[Mean AXIAL stress  (MPa)]]*Tabella2[[#This Row],[Area (mm^2)]], "Null")</f>
        <v>0</v>
      </c>
      <c r="AC50" s="8">
        <f>IF( AND(ISNUMBER(Tabella2[[#This Row],[Amplitute AXIAL stress  (MPa)]]), ISNUMBER(Tabella2[[#This Row],[Area (mm^2)]])), Tabella2[[#This Row],[Amplitute AXIAL stress  (MPa)]]*Tabella2[[#This Row],[Area (mm^2)]],"Null")</f>
        <v>15393.804002589985</v>
      </c>
      <c r="AD50" s="8">
        <f>IF( AND(ISNUMBER(Tabella2[[#This Row],[Amplitude AXIAL force (N)]]), ISNUMBER(Tabella2[[#This Row],[Mean AXIAL force (N)]])), Tabella2[[#This Row],[Amplitude AXIAL force (N)]]+Tabella2[[#This Row],[Mean AXIAL force (N)]],"Null")</f>
        <v>15393.804002589985</v>
      </c>
      <c r="AE5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5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1" spans="1:35" x14ac:dyDescent="0.25">
      <c r="A51" s="1" t="s">
        <v>50</v>
      </c>
      <c r="B51" s="1">
        <v>2022</v>
      </c>
      <c r="C51" s="1" t="s">
        <v>92</v>
      </c>
      <c r="D51" s="1" t="s">
        <v>108</v>
      </c>
      <c r="E51" s="1">
        <v>162541</v>
      </c>
      <c r="F51" s="1" t="s">
        <v>34</v>
      </c>
      <c r="G51" s="1" t="s">
        <v>120</v>
      </c>
      <c r="H51" s="1" t="e" vm="3">
        <v>#VALUE!</v>
      </c>
      <c r="I51" s="1" t="s">
        <v>45</v>
      </c>
      <c r="J51" s="1" t="s">
        <v>64</v>
      </c>
      <c r="K51" s="1">
        <v>14</v>
      </c>
      <c r="L51" s="8">
        <f>PI()*(Tabella2[[#This Row],[Diameter (mm)]]/2)^2</f>
        <v>153.93804002589985</v>
      </c>
      <c r="M51" s="8">
        <f>(PI()*Tabella2[[#This Row],[Diameter (mm)]]^4)/32</f>
        <v>3771.4819806345467</v>
      </c>
      <c r="N51" s="1" t="s">
        <v>35</v>
      </c>
      <c r="O51" s="1" t="s">
        <v>35</v>
      </c>
      <c r="P51" s="1" t="s">
        <v>35</v>
      </c>
      <c r="Q51" s="1">
        <v>-1</v>
      </c>
      <c r="R51" s="1" t="s">
        <v>35</v>
      </c>
      <c r="S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1" s="1" t="s">
        <v>35</v>
      </c>
      <c r="U5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1">
        <v>150</v>
      </c>
      <c r="W5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1" s="7" t="s">
        <v>35</v>
      </c>
      <c r="Y51" s="7" t="str">
        <f>Tabella2[[#This Row],[Mean RADIAL stress  (MPa)]]</f>
        <v>Null</v>
      </c>
      <c r="Z51" s="7" t="str">
        <f>Tabella2[[#This Row],[Amplitute RADIAL stress  (MPa)]]</f>
        <v>Null</v>
      </c>
      <c r="AA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1" s="8">
        <f>IF( AND(ISNUMBER(Tabella2[[#This Row],[Mean AXIAL stress  (MPa)]]), ISNUMBER(Tabella2[[#This Row],[Area (mm^2)]])), Tabella2[[#This Row],[Mean AXIAL stress  (MPa)]]*Tabella2[[#This Row],[Area (mm^2)]], "Null")</f>
        <v>0</v>
      </c>
      <c r="AC51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51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5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5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2" spans="1:35" x14ac:dyDescent="0.25">
      <c r="A52" s="1" t="s">
        <v>50</v>
      </c>
      <c r="B52" s="1">
        <v>2022</v>
      </c>
      <c r="C52" s="1" t="s">
        <v>92</v>
      </c>
      <c r="D52" s="1" t="s">
        <v>109</v>
      </c>
      <c r="E52" s="1">
        <v>5000000</v>
      </c>
      <c r="F52" s="1" t="s">
        <v>64</v>
      </c>
      <c r="G52" s="1" t="s">
        <v>120</v>
      </c>
      <c r="H52" s="1" t="e" vm="3">
        <v>#VALUE!</v>
      </c>
      <c r="I52" s="1" t="s">
        <v>45</v>
      </c>
      <c r="J52" s="1" t="s">
        <v>64</v>
      </c>
      <c r="K52" s="1">
        <v>14</v>
      </c>
      <c r="L52" s="8">
        <f>PI()*(Tabella2[[#This Row],[Diameter (mm)]]/2)^2</f>
        <v>153.93804002589985</v>
      </c>
      <c r="M52" s="8">
        <f>(PI()*Tabella2[[#This Row],[Diameter (mm)]]^4)/32</f>
        <v>3771.4819806345467</v>
      </c>
      <c r="N52" s="1" t="s">
        <v>35</v>
      </c>
      <c r="O52" s="1" t="s">
        <v>35</v>
      </c>
      <c r="P52" s="1" t="s">
        <v>35</v>
      </c>
      <c r="Q52" s="1">
        <v>-1</v>
      </c>
      <c r="R52" s="1" t="s">
        <v>35</v>
      </c>
      <c r="S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2" s="1" t="s">
        <v>35</v>
      </c>
      <c r="U5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2">
        <v>80</v>
      </c>
      <c r="W5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2" s="7" t="s">
        <v>35</v>
      </c>
      <c r="Y52" s="7" t="str">
        <f>Tabella2[[#This Row],[Mean RADIAL stress  (MPa)]]</f>
        <v>Null</v>
      </c>
      <c r="Z52" s="7" t="str">
        <f>Tabella2[[#This Row],[Amplitute RADIAL stress  (MPa)]]</f>
        <v>Null</v>
      </c>
      <c r="AA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2" s="8">
        <f>IF( AND(ISNUMBER(Tabella2[[#This Row],[Mean AXIAL stress  (MPa)]]), ISNUMBER(Tabella2[[#This Row],[Area (mm^2)]])), Tabella2[[#This Row],[Mean AXIAL stress  (MPa)]]*Tabella2[[#This Row],[Area (mm^2)]], "Null")</f>
        <v>0</v>
      </c>
      <c r="AC52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52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5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5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3" spans="1:35" x14ac:dyDescent="0.25">
      <c r="A53" s="1" t="s">
        <v>50</v>
      </c>
      <c r="B53" s="1">
        <v>2022</v>
      </c>
      <c r="C53" s="1" t="s">
        <v>92</v>
      </c>
      <c r="D53" s="1" t="s">
        <v>110</v>
      </c>
      <c r="E53" s="1">
        <v>129589</v>
      </c>
      <c r="F53" s="1" t="s">
        <v>34</v>
      </c>
      <c r="G53" s="1" t="s">
        <v>120</v>
      </c>
      <c r="H53" s="1" t="e" vm="3">
        <v>#VALUE!</v>
      </c>
      <c r="I53" s="1" t="s">
        <v>45</v>
      </c>
      <c r="J53" s="1" t="s">
        <v>64</v>
      </c>
      <c r="K53" s="1">
        <v>14</v>
      </c>
      <c r="L53" s="8">
        <f>PI()*(Tabella2[[#This Row],[Diameter (mm)]]/2)^2</f>
        <v>153.93804002589985</v>
      </c>
      <c r="M53" s="8">
        <f>(PI()*Tabella2[[#This Row],[Diameter (mm)]]^4)/32</f>
        <v>3771.4819806345467</v>
      </c>
      <c r="N53" s="1" t="s">
        <v>35</v>
      </c>
      <c r="O53" s="1" t="s">
        <v>35</v>
      </c>
      <c r="P53" s="1" t="s">
        <v>35</v>
      </c>
      <c r="Q53" s="1">
        <v>-1</v>
      </c>
      <c r="R53" s="1" t="s">
        <v>35</v>
      </c>
      <c r="S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3" s="1" t="s">
        <v>35</v>
      </c>
      <c r="U5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3">
        <v>150</v>
      </c>
      <c r="W5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3" s="7" t="s">
        <v>35</v>
      </c>
      <c r="Y53" s="7" t="str">
        <f>Tabella2[[#This Row],[Mean RADIAL stress  (MPa)]]</f>
        <v>Null</v>
      </c>
      <c r="Z53" s="7" t="str">
        <f>Tabella2[[#This Row],[Amplitute RADIAL stress  (MPa)]]</f>
        <v>Null</v>
      </c>
      <c r="AA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3" s="8">
        <f>IF( AND(ISNUMBER(Tabella2[[#This Row],[Mean AXIAL stress  (MPa)]]), ISNUMBER(Tabella2[[#This Row],[Area (mm^2)]])), Tabella2[[#This Row],[Mean AXIAL stress  (MPa)]]*Tabella2[[#This Row],[Area (mm^2)]], "Null")</f>
        <v>0</v>
      </c>
      <c r="AC53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53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5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5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4" spans="1:35" x14ac:dyDescent="0.25">
      <c r="A54" s="1" t="s">
        <v>50</v>
      </c>
      <c r="B54" s="1">
        <v>2022</v>
      </c>
      <c r="C54" s="1" t="s">
        <v>92</v>
      </c>
      <c r="D54" s="1" t="s">
        <v>111</v>
      </c>
      <c r="E54" s="1">
        <v>1852540</v>
      </c>
      <c r="F54" s="1" t="s">
        <v>34</v>
      </c>
      <c r="G54" s="1" t="s">
        <v>120</v>
      </c>
      <c r="H54" s="1" t="e" vm="3">
        <v>#VALUE!</v>
      </c>
      <c r="I54" s="1" t="s">
        <v>45</v>
      </c>
      <c r="J54" s="1" t="s">
        <v>64</v>
      </c>
      <c r="K54" s="1">
        <v>14</v>
      </c>
      <c r="L54" s="8">
        <f>PI()*(Tabella2[[#This Row],[Diameter (mm)]]/2)^2</f>
        <v>153.93804002589985</v>
      </c>
      <c r="M54" s="8">
        <f>(PI()*Tabella2[[#This Row],[Diameter (mm)]]^4)/32</f>
        <v>3771.4819806345467</v>
      </c>
      <c r="N54" s="1" t="s">
        <v>35</v>
      </c>
      <c r="O54" s="1" t="s">
        <v>35</v>
      </c>
      <c r="P54" s="1" t="s">
        <v>35</v>
      </c>
      <c r="Q54" s="1">
        <v>-1</v>
      </c>
      <c r="R54" s="1" t="s">
        <v>35</v>
      </c>
      <c r="S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4" s="1" t="s">
        <v>35</v>
      </c>
      <c r="U5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4">
        <v>80</v>
      </c>
      <c r="W5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4" s="7" t="s">
        <v>35</v>
      </c>
      <c r="Y54" s="7" t="str">
        <f>Tabella2[[#This Row],[Mean RADIAL stress  (MPa)]]</f>
        <v>Null</v>
      </c>
      <c r="Z54" s="7" t="str">
        <f>Tabella2[[#This Row],[Amplitute RADIAL stress  (MPa)]]</f>
        <v>Null</v>
      </c>
      <c r="AA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4" s="8">
        <f>IF( AND(ISNUMBER(Tabella2[[#This Row],[Mean AXIAL stress  (MPa)]]), ISNUMBER(Tabella2[[#This Row],[Area (mm^2)]])), Tabella2[[#This Row],[Mean AXIAL stress  (MPa)]]*Tabella2[[#This Row],[Area (mm^2)]], "Null")</f>
        <v>0</v>
      </c>
      <c r="AC54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54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5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5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5" spans="1:35" x14ac:dyDescent="0.25">
      <c r="A55" s="1" t="s">
        <v>50</v>
      </c>
      <c r="B55" s="1">
        <v>2022</v>
      </c>
      <c r="C55" s="1" t="s">
        <v>92</v>
      </c>
      <c r="D55" s="1" t="s">
        <v>112</v>
      </c>
      <c r="E55" s="1">
        <v>5000000</v>
      </c>
      <c r="F55" s="1" t="s">
        <v>64</v>
      </c>
      <c r="G55" s="1" t="s">
        <v>120</v>
      </c>
      <c r="H55" s="1" t="e" vm="3">
        <v>#VALUE!</v>
      </c>
      <c r="I55" s="1" t="s">
        <v>45</v>
      </c>
      <c r="J55" s="1" t="s">
        <v>64</v>
      </c>
      <c r="K55" s="1">
        <v>14</v>
      </c>
      <c r="L55" s="8">
        <f>PI()*(Tabella2[[#This Row],[Diameter (mm)]]/2)^2</f>
        <v>153.93804002589985</v>
      </c>
      <c r="M55" s="8">
        <f>(PI()*Tabella2[[#This Row],[Diameter (mm)]]^4)/32</f>
        <v>3771.4819806345467</v>
      </c>
      <c r="N55" s="1" t="s">
        <v>35</v>
      </c>
      <c r="O55" s="1" t="s">
        <v>35</v>
      </c>
      <c r="P55" s="1" t="s">
        <v>35</v>
      </c>
      <c r="Q55" s="1">
        <v>-1</v>
      </c>
      <c r="R55" s="1" t="s">
        <v>35</v>
      </c>
      <c r="S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5" s="1" t="s">
        <v>35</v>
      </c>
      <c r="U5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5">
        <v>80</v>
      </c>
      <c r="W5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5" s="7" t="s">
        <v>35</v>
      </c>
      <c r="Y55" s="7" t="str">
        <f>Tabella2[[#This Row],[Mean RADIAL stress  (MPa)]]</f>
        <v>Null</v>
      </c>
      <c r="Z55" s="7" t="str">
        <f>Tabella2[[#This Row],[Amplitute RADIAL stress  (MPa)]]</f>
        <v>Null</v>
      </c>
      <c r="AA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5" s="8">
        <f>IF( AND(ISNUMBER(Tabella2[[#This Row],[Mean AXIAL stress  (MPa)]]), ISNUMBER(Tabella2[[#This Row],[Area (mm^2)]])), Tabella2[[#This Row],[Mean AXIAL stress  (MPa)]]*Tabella2[[#This Row],[Area (mm^2)]], "Null")</f>
        <v>0</v>
      </c>
      <c r="AC55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55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5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5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6" spans="1:35" x14ac:dyDescent="0.25">
      <c r="A56" s="1" t="s">
        <v>50</v>
      </c>
      <c r="B56" s="1">
        <v>2022</v>
      </c>
      <c r="C56" s="1" t="s">
        <v>92</v>
      </c>
      <c r="D56" s="1" t="s">
        <v>113</v>
      </c>
      <c r="E56" s="1">
        <v>349233</v>
      </c>
      <c r="F56" s="1" t="s">
        <v>34</v>
      </c>
      <c r="G56" s="1" t="s">
        <v>120</v>
      </c>
      <c r="H56" s="1" t="e" vm="3">
        <v>#VALUE!</v>
      </c>
      <c r="I56" s="1" t="s">
        <v>45</v>
      </c>
      <c r="J56" s="1" t="s">
        <v>64</v>
      </c>
      <c r="K56" s="1">
        <v>14</v>
      </c>
      <c r="L56" s="8">
        <f>PI()*(Tabella2[[#This Row],[Diameter (mm)]]/2)^2</f>
        <v>153.93804002589985</v>
      </c>
      <c r="M56" s="8">
        <f>(PI()*Tabella2[[#This Row],[Diameter (mm)]]^4)/32</f>
        <v>3771.4819806345467</v>
      </c>
      <c r="N56" s="1" t="s">
        <v>35</v>
      </c>
      <c r="O56" s="1" t="s">
        <v>35</v>
      </c>
      <c r="P56" s="1" t="s">
        <v>35</v>
      </c>
      <c r="Q56" s="1">
        <v>-1</v>
      </c>
      <c r="R56" s="1" t="s">
        <v>35</v>
      </c>
      <c r="S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6" s="1" t="s">
        <v>35</v>
      </c>
      <c r="U5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6">
        <v>125</v>
      </c>
      <c r="W5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6" s="7" t="s">
        <v>35</v>
      </c>
      <c r="Y56" s="7" t="str">
        <f>Tabella2[[#This Row],[Mean RADIAL stress  (MPa)]]</f>
        <v>Null</v>
      </c>
      <c r="Z56" s="7" t="str">
        <f>Tabella2[[#This Row],[Amplitute RADIAL stress  (MPa)]]</f>
        <v>Null</v>
      </c>
      <c r="AA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6" s="8">
        <f>IF( AND(ISNUMBER(Tabella2[[#This Row],[Mean AXIAL stress  (MPa)]]), ISNUMBER(Tabella2[[#This Row],[Area (mm^2)]])), Tabella2[[#This Row],[Mean AXIAL stress  (MPa)]]*Tabella2[[#This Row],[Area (mm^2)]], "Null")</f>
        <v>0</v>
      </c>
      <c r="AC56" s="8">
        <f>IF( AND(ISNUMBER(Tabella2[[#This Row],[Amplitute AXIAL stress  (MPa)]]), ISNUMBER(Tabella2[[#This Row],[Area (mm^2)]])), Tabella2[[#This Row],[Amplitute AXIAL stress  (MPa)]]*Tabella2[[#This Row],[Area (mm^2)]],"Null")</f>
        <v>19242.255003237482</v>
      </c>
      <c r="AD56" s="8">
        <f>IF( AND(ISNUMBER(Tabella2[[#This Row],[Amplitude AXIAL force (N)]]), ISNUMBER(Tabella2[[#This Row],[Mean AXIAL force (N)]])), Tabella2[[#This Row],[Amplitude AXIAL force (N)]]+Tabella2[[#This Row],[Mean AXIAL force (N)]],"Null")</f>
        <v>19242.255003237482</v>
      </c>
      <c r="AE5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5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7" spans="1:35" x14ac:dyDescent="0.25">
      <c r="A57" s="1" t="s">
        <v>50</v>
      </c>
      <c r="B57" s="1">
        <v>2022</v>
      </c>
      <c r="C57" s="1" t="s">
        <v>92</v>
      </c>
      <c r="D57" s="1" t="s">
        <v>114</v>
      </c>
      <c r="E57" s="1">
        <v>741551</v>
      </c>
      <c r="F57" s="1" t="s">
        <v>34</v>
      </c>
      <c r="G57" s="1" t="s">
        <v>120</v>
      </c>
      <c r="H57" s="1" t="e" vm="3">
        <v>#VALUE!</v>
      </c>
      <c r="I57" s="1" t="s">
        <v>45</v>
      </c>
      <c r="J57" s="1" t="s">
        <v>64</v>
      </c>
      <c r="K57" s="1">
        <v>14</v>
      </c>
      <c r="L57" s="8">
        <f>PI()*(Tabella2[[#This Row],[Diameter (mm)]]/2)^2</f>
        <v>153.93804002589985</v>
      </c>
      <c r="M57" s="8">
        <f>(PI()*Tabella2[[#This Row],[Diameter (mm)]]^4)/32</f>
        <v>3771.4819806345467</v>
      </c>
      <c r="N57" s="1" t="s">
        <v>35</v>
      </c>
      <c r="O57" s="1" t="s">
        <v>35</v>
      </c>
      <c r="P57" s="1" t="s">
        <v>35</v>
      </c>
      <c r="Q57" s="1">
        <v>-1</v>
      </c>
      <c r="R57" s="1" t="s">
        <v>35</v>
      </c>
      <c r="S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7" s="1" t="s">
        <v>35</v>
      </c>
      <c r="U5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7">
        <v>100</v>
      </c>
      <c r="W5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7" s="7" t="s">
        <v>35</v>
      </c>
      <c r="Y57" s="7" t="str">
        <f>Tabella2[[#This Row],[Mean RADIAL stress  (MPa)]]</f>
        <v>Null</v>
      </c>
      <c r="Z57" s="7" t="str">
        <f>Tabella2[[#This Row],[Amplitute RADIAL stress  (MPa)]]</f>
        <v>Null</v>
      </c>
      <c r="AA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7" s="8">
        <f>IF( AND(ISNUMBER(Tabella2[[#This Row],[Mean AXIAL stress  (MPa)]]), ISNUMBER(Tabella2[[#This Row],[Area (mm^2)]])), Tabella2[[#This Row],[Mean AXIAL stress  (MPa)]]*Tabella2[[#This Row],[Area (mm^2)]], "Null")</f>
        <v>0</v>
      </c>
      <c r="AC57" s="8">
        <f>IF( AND(ISNUMBER(Tabella2[[#This Row],[Amplitute AXIAL stress  (MPa)]]), ISNUMBER(Tabella2[[#This Row],[Area (mm^2)]])), Tabella2[[#This Row],[Amplitute AXIAL stress  (MPa)]]*Tabella2[[#This Row],[Area (mm^2)]],"Null")</f>
        <v>15393.804002589985</v>
      </c>
      <c r="AD57" s="8">
        <f>IF( AND(ISNUMBER(Tabella2[[#This Row],[Amplitude AXIAL force (N)]]), ISNUMBER(Tabella2[[#This Row],[Mean AXIAL force (N)]])), Tabella2[[#This Row],[Amplitude AXIAL force (N)]]+Tabella2[[#This Row],[Mean AXIAL force (N)]],"Null")</f>
        <v>15393.804002589985</v>
      </c>
      <c r="AE5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5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8" spans="1:35" x14ac:dyDescent="0.25">
      <c r="A58" s="1" t="s">
        <v>50</v>
      </c>
      <c r="B58" s="1">
        <v>2022</v>
      </c>
      <c r="C58" s="1" t="s">
        <v>92</v>
      </c>
      <c r="D58" s="1" t="s">
        <v>115</v>
      </c>
      <c r="E58" s="1">
        <v>286444</v>
      </c>
      <c r="F58" s="1" t="s">
        <v>34</v>
      </c>
      <c r="G58" s="1" t="s">
        <v>120</v>
      </c>
      <c r="H58" s="1" t="e" vm="3">
        <v>#VALUE!</v>
      </c>
      <c r="I58" s="1" t="s">
        <v>45</v>
      </c>
      <c r="J58" s="1" t="s">
        <v>64</v>
      </c>
      <c r="K58" s="1">
        <v>14</v>
      </c>
      <c r="L58" s="8">
        <f>PI()*(Tabella2[[#This Row],[Diameter (mm)]]/2)^2</f>
        <v>153.93804002589985</v>
      </c>
      <c r="M58" s="8">
        <f>(PI()*Tabella2[[#This Row],[Diameter (mm)]]^4)/32</f>
        <v>3771.4819806345467</v>
      </c>
      <c r="N58" s="1" t="s">
        <v>35</v>
      </c>
      <c r="O58" s="1" t="s">
        <v>35</v>
      </c>
      <c r="P58" s="1" t="s">
        <v>35</v>
      </c>
      <c r="Q58" s="1">
        <v>-1</v>
      </c>
      <c r="R58" s="1" t="s">
        <v>35</v>
      </c>
      <c r="S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8" s="1" t="s">
        <v>35</v>
      </c>
      <c r="U5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8">
        <v>125</v>
      </c>
      <c r="W5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8" s="7" t="s">
        <v>35</v>
      </c>
      <c r="Y58" s="7" t="str">
        <f>Tabella2[[#This Row],[Mean RADIAL stress  (MPa)]]</f>
        <v>Null</v>
      </c>
      <c r="Z58" s="7" t="str">
        <f>Tabella2[[#This Row],[Amplitute RADIAL stress  (MPa)]]</f>
        <v>Null</v>
      </c>
      <c r="AA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8" s="8">
        <f>IF( AND(ISNUMBER(Tabella2[[#This Row],[Mean AXIAL stress  (MPa)]]), ISNUMBER(Tabella2[[#This Row],[Area (mm^2)]])), Tabella2[[#This Row],[Mean AXIAL stress  (MPa)]]*Tabella2[[#This Row],[Area (mm^2)]], "Null")</f>
        <v>0</v>
      </c>
      <c r="AC58" s="8">
        <f>IF( AND(ISNUMBER(Tabella2[[#This Row],[Amplitute AXIAL stress  (MPa)]]), ISNUMBER(Tabella2[[#This Row],[Area (mm^2)]])), Tabella2[[#This Row],[Amplitute AXIAL stress  (MPa)]]*Tabella2[[#This Row],[Area (mm^2)]],"Null")</f>
        <v>19242.255003237482</v>
      </c>
      <c r="AD58" s="8">
        <f>IF( AND(ISNUMBER(Tabella2[[#This Row],[Amplitude AXIAL force (N)]]), ISNUMBER(Tabella2[[#This Row],[Mean AXIAL force (N)]])), Tabella2[[#This Row],[Amplitude AXIAL force (N)]]+Tabella2[[#This Row],[Mean AXIAL force (N)]],"Null")</f>
        <v>19242.255003237482</v>
      </c>
      <c r="AE5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5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9" spans="1:35" x14ac:dyDescent="0.25">
      <c r="A59" s="1" t="s">
        <v>50</v>
      </c>
      <c r="B59" s="1">
        <v>2022</v>
      </c>
      <c r="C59" s="1" t="s">
        <v>92</v>
      </c>
      <c r="D59" s="1" t="s">
        <v>116</v>
      </c>
      <c r="E59" s="1">
        <v>247409</v>
      </c>
      <c r="F59" s="1" t="s">
        <v>34</v>
      </c>
      <c r="G59" s="1" t="s">
        <v>120</v>
      </c>
      <c r="H59" s="1" t="e" vm="3">
        <v>#VALUE!</v>
      </c>
      <c r="I59" s="1" t="s">
        <v>45</v>
      </c>
      <c r="J59" s="1" t="s">
        <v>64</v>
      </c>
      <c r="K59" s="1">
        <v>14</v>
      </c>
      <c r="L59" s="8">
        <f>PI()*(Tabella2[[#This Row],[Diameter (mm)]]/2)^2</f>
        <v>153.93804002589985</v>
      </c>
      <c r="M59" s="8">
        <f>(PI()*Tabella2[[#This Row],[Diameter (mm)]]^4)/32</f>
        <v>3771.4819806345467</v>
      </c>
      <c r="N59" s="1" t="s">
        <v>35</v>
      </c>
      <c r="O59" s="1" t="s">
        <v>35</v>
      </c>
      <c r="P59" s="1" t="s">
        <v>35</v>
      </c>
      <c r="Q59" s="1">
        <v>-1</v>
      </c>
      <c r="R59" s="1" t="s">
        <v>35</v>
      </c>
      <c r="S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9" s="1" t="s">
        <v>35</v>
      </c>
      <c r="U5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9">
        <v>125</v>
      </c>
      <c r="W5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9" s="7" t="s">
        <v>35</v>
      </c>
      <c r="Y59" s="7" t="str">
        <f>Tabella2[[#This Row],[Mean RADIAL stress  (MPa)]]</f>
        <v>Null</v>
      </c>
      <c r="Z59" s="7" t="str">
        <f>Tabella2[[#This Row],[Amplitute RADIAL stress  (MPa)]]</f>
        <v>Null</v>
      </c>
      <c r="AA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9" s="8">
        <f>IF( AND(ISNUMBER(Tabella2[[#This Row],[Mean AXIAL stress  (MPa)]]), ISNUMBER(Tabella2[[#This Row],[Area (mm^2)]])), Tabella2[[#This Row],[Mean AXIAL stress  (MPa)]]*Tabella2[[#This Row],[Area (mm^2)]], "Null")</f>
        <v>0</v>
      </c>
      <c r="AC59" s="8">
        <f>IF( AND(ISNUMBER(Tabella2[[#This Row],[Amplitute AXIAL stress  (MPa)]]), ISNUMBER(Tabella2[[#This Row],[Area (mm^2)]])), Tabella2[[#This Row],[Amplitute AXIAL stress  (MPa)]]*Tabella2[[#This Row],[Area (mm^2)]],"Null")</f>
        <v>19242.255003237482</v>
      </c>
      <c r="AD59" s="8">
        <f>IF( AND(ISNUMBER(Tabella2[[#This Row],[Amplitude AXIAL force (N)]]), ISNUMBER(Tabella2[[#This Row],[Mean AXIAL force (N)]])), Tabella2[[#This Row],[Amplitude AXIAL force (N)]]+Tabella2[[#This Row],[Mean AXIAL force (N)]],"Null")</f>
        <v>19242.255003237482</v>
      </c>
      <c r="AE5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5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0" spans="1:35" x14ac:dyDescent="0.25">
      <c r="A60" s="1" t="s">
        <v>50</v>
      </c>
      <c r="B60" s="1">
        <v>2022</v>
      </c>
      <c r="C60" s="1" t="s">
        <v>92</v>
      </c>
      <c r="D60" s="1" t="s">
        <v>117</v>
      </c>
      <c r="E60" s="1">
        <v>5000000</v>
      </c>
      <c r="F60" s="1" t="s">
        <v>64</v>
      </c>
      <c r="G60" s="1" t="s">
        <v>120</v>
      </c>
      <c r="H60" s="1" t="e" vm="3">
        <v>#VALUE!</v>
      </c>
      <c r="I60" s="1" t="s">
        <v>45</v>
      </c>
      <c r="J60" s="1" t="s">
        <v>64</v>
      </c>
      <c r="K60" s="1">
        <v>14</v>
      </c>
      <c r="L60" s="8">
        <f>PI()*(Tabella2[[#This Row],[Diameter (mm)]]/2)^2</f>
        <v>153.93804002589985</v>
      </c>
      <c r="M60" s="8">
        <f>(PI()*Tabella2[[#This Row],[Diameter (mm)]]^4)/32</f>
        <v>3771.4819806345467</v>
      </c>
      <c r="N60" s="1" t="s">
        <v>35</v>
      </c>
      <c r="O60" s="1" t="s">
        <v>35</v>
      </c>
      <c r="P60" s="1" t="s">
        <v>35</v>
      </c>
      <c r="Q60" s="1">
        <v>-1</v>
      </c>
      <c r="R60" s="1" t="s">
        <v>35</v>
      </c>
      <c r="S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0" s="1" t="s">
        <v>35</v>
      </c>
      <c r="U6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0">
        <v>75</v>
      </c>
      <c r="W6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0" s="7" t="s">
        <v>35</v>
      </c>
      <c r="Y60" s="7" t="str">
        <f>Tabella2[[#This Row],[Mean RADIAL stress  (MPa)]]</f>
        <v>Null</v>
      </c>
      <c r="Z60" s="7" t="str">
        <f>Tabella2[[#This Row],[Amplitute RADIAL stress  (MPa)]]</f>
        <v>Null</v>
      </c>
      <c r="AA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0" s="8">
        <f>IF( AND(ISNUMBER(Tabella2[[#This Row],[Mean AXIAL stress  (MPa)]]), ISNUMBER(Tabella2[[#This Row],[Area (mm^2)]])), Tabella2[[#This Row],[Mean AXIAL stress  (MPa)]]*Tabella2[[#This Row],[Area (mm^2)]], "Null")</f>
        <v>0</v>
      </c>
      <c r="AC60" s="8">
        <f>IF( AND(ISNUMBER(Tabella2[[#This Row],[Amplitute AXIAL stress  (MPa)]]), ISNUMBER(Tabella2[[#This Row],[Area (mm^2)]])), Tabella2[[#This Row],[Amplitute AXIAL stress  (MPa)]]*Tabella2[[#This Row],[Area (mm^2)]],"Null")</f>
        <v>11545.353001942489</v>
      </c>
      <c r="AD60" s="8">
        <f>IF( AND(ISNUMBER(Tabella2[[#This Row],[Amplitude AXIAL force (N)]]), ISNUMBER(Tabella2[[#This Row],[Mean AXIAL force (N)]])), Tabella2[[#This Row],[Amplitude AXIAL force (N)]]+Tabella2[[#This Row],[Mean AXIAL force (N)]],"Null")</f>
        <v>11545.353001942489</v>
      </c>
      <c r="AE6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75</v>
      </c>
      <c r="AI6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1" spans="1:35" x14ac:dyDescent="0.25">
      <c r="A61" s="1" t="s">
        <v>50</v>
      </c>
      <c r="B61" s="1">
        <v>2022</v>
      </c>
      <c r="C61" s="1" t="s">
        <v>92</v>
      </c>
      <c r="D61" s="1" t="s">
        <v>118</v>
      </c>
      <c r="E61" s="1">
        <v>2683213</v>
      </c>
      <c r="F61" s="1" t="s">
        <v>34</v>
      </c>
      <c r="G61" s="1" t="s">
        <v>43</v>
      </c>
      <c r="H61" s="1" t="e" vm="3">
        <v>#VALUE!</v>
      </c>
      <c r="I61" s="1" t="s">
        <v>45</v>
      </c>
      <c r="J61" s="1" t="s">
        <v>64</v>
      </c>
      <c r="K61" s="1">
        <v>14</v>
      </c>
      <c r="L61" s="8">
        <f>PI()*(Tabella2[[#This Row],[Diameter (mm)]]/2)^2</f>
        <v>153.93804002589985</v>
      </c>
      <c r="M61" s="8">
        <f>(PI()*Tabella2[[#This Row],[Diameter (mm)]]^4)/32</f>
        <v>3771.4819806345467</v>
      </c>
      <c r="N61" s="1" t="s">
        <v>35</v>
      </c>
      <c r="O61" s="1" t="s">
        <v>35</v>
      </c>
      <c r="P61" s="1" t="s">
        <v>35</v>
      </c>
      <c r="Q61" s="1">
        <v>-1</v>
      </c>
      <c r="R61" s="1" t="s">
        <v>35</v>
      </c>
      <c r="S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1" s="1" t="s">
        <v>35</v>
      </c>
      <c r="U6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1">
        <v>85</v>
      </c>
      <c r="W6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1" s="7" t="s">
        <v>35</v>
      </c>
      <c r="Y61" s="7" t="str">
        <f>Tabella2[[#This Row],[Mean RADIAL stress  (MPa)]]</f>
        <v>Null</v>
      </c>
      <c r="Z61" s="7" t="str">
        <f>Tabella2[[#This Row],[Amplitute RADIAL stress  (MPa)]]</f>
        <v>Null</v>
      </c>
      <c r="AA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1" s="8">
        <f>IF( AND(ISNUMBER(Tabella2[[#This Row],[Mean AXIAL stress  (MPa)]]), ISNUMBER(Tabella2[[#This Row],[Area (mm^2)]])), Tabella2[[#This Row],[Mean AXIAL stress  (MPa)]]*Tabella2[[#This Row],[Area (mm^2)]], "Null")</f>
        <v>0</v>
      </c>
      <c r="AC61" s="8">
        <f>IF( AND(ISNUMBER(Tabella2[[#This Row],[Amplitute AXIAL stress  (MPa)]]), ISNUMBER(Tabella2[[#This Row],[Area (mm^2)]])), Tabella2[[#This Row],[Amplitute AXIAL stress  (MPa)]]*Tabella2[[#This Row],[Area (mm^2)]],"Null")</f>
        <v>13084.733402201487</v>
      </c>
      <c r="AD61" s="8">
        <f>IF( AND(ISNUMBER(Tabella2[[#This Row],[Amplitude AXIAL force (N)]]), ISNUMBER(Tabella2[[#This Row],[Mean AXIAL force (N)]])), Tabella2[[#This Row],[Amplitude AXIAL force (N)]]+Tabella2[[#This Row],[Mean AXIAL force (N)]],"Null")</f>
        <v>13084.733402201487</v>
      </c>
      <c r="AE6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</v>
      </c>
      <c r="AI6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2" spans="1:35" x14ac:dyDescent="0.25">
      <c r="A62" s="1" t="s">
        <v>50</v>
      </c>
      <c r="B62" s="1">
        <v>2022</v>
      </c>
      <c r="C62" s="1" t="s">
        <v>92</v>
      </c>
      <c r="D62" s="1" t="s">
        <v>119</v>
      </c>
      <c r="E62" s="1">
        <v>80799</v>
      </c>
      <c r="F62" s="1" t="s">
        <v>34</v>
      </c>
      <c r="G62" s="1" t="s">
        <v>43</v>
      </c>
      <c r="H62" s="1" t="e" vm="3">
        <v>#VALUE!</v>
      </c>
      <c r="I62" s="1" t="s">
        <v>45</v>
      </c>
      <c r="J62" s="1" t="s">
        <v>34</v>
      </c>
      <c r="K62" s="1">
        <v>14</v>
      </c>
      <c r="L62" s="8">
        <f>PI()*(Tabella2[[#This Row],[Diameter (mm)]]/2)^2</f>
        <v>153.93804002589985</v>
      </c>
      <c r="M62" s="8">
        <f>(PI()*Tabella2[[#This Row],[Diameter (mm)]]^4)/32</f>
        <v>3771.4819806345467</v>
      </c>
      <c r="N62" s="1" t="s">
        <v>35</v>
      </c>
      <c r="O62" s="1" t="s">
        <v>35</v>
      </c>
      <c r="P62" s="1" t="s">
        <v>35</v>
      </c>
      <c r="Q62" s="1" t="s">
        <v>35</v>
      </c>
      <c r="R62" s="1">
        <v>-1</v>
      </c>
      <c r="S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2" s="1" t="s">
        <v>35</v>
      </c>
      <c r="U6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2" s="1" t="s">
        <v>35</v>
      </c>
      <c r="W6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2" s="7">
        <v>400</v>
      </c>
      <c r="Y62" s="7" t="str">
        <f>Tabella2[[#This Row],[Mean RADIAL stress  (MPa)]]</f>
        <v>Null</v>
      </c>
      <c r="Z62" s="7" t="str">
        <f>Tabella2[[#This Row],[Amplitute RADIAL stress  (MPa)]]</f>
        <v>Null</v>
      </c>
      <c r="AA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215513.25603625979</v>
      </c>
      <c r="AG62" s="1">
        <f>IF(
   AND(ISNUMBER(Tabella2[[#This Row],[Mean TORQUE (Nmm)]]), ISNUMBER(Tabella2[[#This Row],[Amplitude TORQUE (Nmm)]])),
   Tabella2[[#This Row],[Mean TORQUE (Nmm)]]+Tabella2[[#This Row],[Amplitude TORQUE (Nmm)]],
   "Null"
)</f>
        <v>215513.25603625979</v>
      </c>
      <c r="AH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692.8203230275509</v>
      </c>
      <c r="AI6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3" spans="1:35" x14ac:dyDescent="0.25">
      <c r="A63" s="1" t="s">
        <v>50</v>
      </c>
      <c r="B63" s="1">
        <v>2022</v>
      </c>
      <c r="C63" s="1" t="s">
        <v>92</v>
      </c>
      <c r="D63" s="1" t="s">
        <v>121</v>
      </c>
      <c r="E63" s="1">
        <v>61036</v>
      </c>
      <c r="F63" s="1" t="s">
        <v>34</v>
      </c>
      <c r="G63" s="1" t="s">
        <v>43</v>
      </c>
      <c r="H63" s="1" t="e" vm="3">
        <v>#VALUE!</v>
      </c>
      <c r="I63" s="1" t="s">
        <v>45</v>
      </c>
      <c r="J63" s="1" t="s">
        <v>34</v>
      </c>
      <c r="K63" s="1">
        <v>14</v>
      </c>
      <c r="L63" s="8">
        <f>PI()*(Tabella2[[#This Row],[Diameter (mm)]]/2)^2</f>
        <v>153.93804002589985</v>
      </c>
      <c r="M63" s="8">
        <f>(PI()*Tabella2[[#This Row],[Diameter (mm)]]^4)/32</f>
        <v>3771.4819806345467</v>
      </c>
      <c r="N63" s="1" t="s">
        <v>35</v>
      </c>
      <c r="O63" s="1" t="s">
        <v>35</v>
      </c>
      <c r="P63" s="1" t="s">
        <v>35</v>
      </c>
      <c r="Q63" s="1" t="s">
        <v>35</v>
      </c>
      <c r="R63" s="1">
        <v>-1</v>
      </c>
      <c r="S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3" s="1" t="s">
        <v>35</v>
      </c>
      <c r="U6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3" s="1" t="s">
        <v>35</v>
      </c>
      <c r="W6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3" s="7">
        <v>400</v>
      </c>
      <c r="Y63" s="7" t="str">
        <f>Tabella2[[#This Row],[Mean RADIAL stress  (MPa)]]</f>
        <v>Null</v>
      </c>
      <c r="Z63" s="7" t="str">
        <f>Tabella2[[#This Row],[Amplitute RADIAL stress  (MPa)]]</f>
        <v>Null</v>
      </c>
      <c r="AA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215513.25603625979</v>
      </c>
      <c r="AG63" s="1">
        <f>IF(
   AND(ISNUMBER(Tabella2[[#This Row],[Mean TORQUE (Nmm)]]), ISNUMBER(Tabella2[[#This Row],[Amplitude TORQUE (Nmm)]])),
   Tabella2[[#This Row],[Mean TORQUE (Nmm)]]+Tabella2[[#This Row],[Amplitude TORQUE (Nmm)]],
   "Null"
)</f>
        <v>215513.25603625979</v>
      </c>
      <c r="AH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692.8203230275509</v>
      </c>
      <c r="AI6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4" spans="1:35" x14ac:dyDescent="0.25">
      <c r="A64" s="1" t="s">
        <v>50</v>
      </c>
      <c r="B64" s="1">
        <v>2022</v>
      </c>
      <c r="C64" s="1" t="s">
        <v>92</v>
      </c>
      <c r="D64" s="1" t="s">
        <v>122</v>
      </c>
      <c r="E64" s="1">
        <v>5000000</v>
      </c>
      <c r="F64" s="1" t="s">
        <v>64</v>
      </c>
      <c r="G64" s="1" t="s">
        <v>43</v>
      </c>
      <c r="H64" s="1" t="e" vm="3">
        <v>#VALUE!</v>
      </c>
      <c r="I64" s="1" t="s">
        <v>45</v>
      </c>
      <c r="J64" s="1" t="s">
        <v>34</v>
      </c>
      <c r="K64" s="1">
        <v>14</v>
      </c>
      <c r="L64" s="8">
        <f>PI()*(Tabella2[[#This Row],[Diameter (mm)]]/2)^2</f>
        <v>153.93804002589985</v>
      </c>
      <c r="M64" s="8">
        <f>(PI()*Tabella2[[#This Row],[Diameter (mm)]]^4)/32</f>
        <v>3771.4819806345467</v>
      </c>
      <c r="N64" s="1" t="s">
        <v>35</v>
      </c>
      <c r="O64" s="1" t="s">
        <v>35</v>
      </c>
      <c r="P64" s="1" t="s">
        <v>35</v>
      </c>
      <c r="Q64" s="1" t="s">
        <v>35</v>
      </c>
      <c r="R64" s="1">
        <v>-1</v>
      </c>
      <c r="S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4" s="1" t="s">
        <v>35</v>
      </c>
      <c r="U6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4" s="1" t="s">
        <v>35</v>
      </c>
      <c r="W6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4" s="7">
        <v>320</v>
      </c>
      <c r="Y64" s="7" t="str">
        <f>Tabella2[[#This Row],[Mean RADIAL stress  (MPa)]]</f>
        <v>Null</v>
      </c>
      <c r="Z64" s="7" t="str">
        <f>Tabella2[[#This Row],[Amplitute RADIAL stress  (MPa)]]</f>
        <v>Null</v>
      </c>
      <c r="AA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172410.60482900785</v>
      </c>
      <c r="AG64" s="1">
        <f>IF(
   AND(ISNUMBER(Tabella2[[#This Row],[Mean TORQUE (Nmm)]]), ISNUMBER(Tabella2[[#This Row],[Amplitude TORQUE (Nmm)]])),
   Tabella2[[#This Row],[Mean TORQUE (Nmm)]]+Tabella2[[#This Row],[Amplitude TORQUE (Nmm)]],
   "Null"
)</f>
        <v>172410.60482900785</v>
      </c>
      <c r="AH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554.25625842204079</v>
      </c>
      <c r="AI6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5" spans="1:35" x14ac:dyDescent="0.25">
      <c r="A65" s="1" t="s">
        <v>50</v>
      </c>
      <c r="B65" s="1">
        <v>2022</v>
      </c>
      <c r="C65" s="1" t="s">
        <v>92</v>
      </c>
      <c r="D65" s="1" t="s">
        <v>123</v>
      </c>
      <c r="E65" s="1">
        <v>2113</v>
      </c>
      <c r="F65" s="1" t="s">
        <v>34</v>
      </c>
      <c r="G65" s="1" t="s">
        <v>43</v>
      </c>
      <c r="H65" s="1" t="e" vm="3">
        <v>#VALUE!</v>
      </c>
      <c r="I65" s="1" t="s">
        <v>45</v>
      </c>
      <c r="J65" s="1" t="s">
        <v>34</v>
      </c>
      <c r="K65" s="1">
        <v>14</v>
      </c>
      <c r="L65" s="8">
        <f>PI()*(Tabella2[[#This Row],[Diameter (mm)]]/2)^2</f>
        <v>153.93804002589985</v>
      </c>
      <c r="M65" s="8">
        <f>(PI()*Tabella2[[#This Row],[Diameter (mm)]]^4)/32</f>
        <v>3771.4819806345467</v>
      </c>
      <c r="N65" s="1" t="s">
        <v>35</v>
      </c>
      <c r="O65" s="1" t="s">
        <v>35</v>
      </c>
      <c r="P65" s="1" t="s">
        <v>35</v>
      </c>
      <c r="Q65" s="1" t="s">
        <v>35</v>
      </c>
      <c r="R65" s="1">
        <v>-1</v>
      </c>
      <c r="S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5" s="1" t="s">
        <v>35</v>
      </c>
      <c r="U6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5" s="1" t="s">
        <v>35</v>
      </c>
      <c r="W6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5" s="7">
        <v>480</v>
      </c>
      <c r="Y65" s="7" t="str">
        <f>Tabella2[[#This Row],[Mean RADIAL stress  (MPa)]]</f>
        <v>Null</v>
      </c>
      <c r="Z65" s="7" t="str">
        <f>Tabella2[[#This Row],[Amplitute RADIAL stress  (MPa)]]</f>
        <v>Null</v>
      </c>
      <c r="AA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258615.90724351179</v>
      </c>
      <c r="AG65" s="1">
        <f>IF(
   AND(ISNUMBER(Tabella2[[#This Row],[Mean TORQUE (Nmm)]]), ISNUMBER(Tabella2[[#This Row],[Amplitude TORQUE (Nmm)]])),
   Tabella2[[#This Row],[Mean TORQUE (Nmm)]]+Tabella2[[#This Row],[Amplitude TORQUE (Nmm)]],
   "Null"
)</f>
        <v>258615.90724351179</v>
      </c>
      <c r="AH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831.38438763306112</v>
      </c>
      <c r="AI6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6" spans="1:35" x14ac:dyDescent="0.25">
      <c r="A66" s="1" t="s">
        <v>50</v>
      </c>
      <c r="B66" s="1">
        <v>2022</v>
      </c>
      <c r="C66" s="1" t="s">
        <v>92</v>
      </c>
      <c r="D66" s="1" t="s">
        <v>124</v>
      </c>
      <c r="E66" s="1">
        <v>356338</v>
      </c>
      <c r="F66" s="1" t="s">
        <v>34</v>
      </c>
      <c r="G66" s="1" t="s">
        <v>43</v>
      </c>
      <c r="H66" s="1" t="e" vm="3">
        <v>#VALUE!</v>
      </c>
      <c r="I66" s="1" t="s">
        <v>45</v>
      </c>
      <c r="J66" s="1" t="s">
        <v>34</v>
      </c>
      <c r="K66" s="1">
        <v>14</v>
      </c>
      <c r="L66" s="8">
        <f>PI()*(Tabella2[[#This Row],[Diameter (mm)]]/2)^2</f>
        <v>153.93804002589985</v>
      </c>
      <c r="M66" s="8">
        <f>(PI()*Tabella2[[#This Row],[Diameter (mm)]]^4)/32</f>
        <v>3771.4819806345467</v>
      </c>
      <c r="N66" s="1" t="s">
        <v>35</v>
      </c>
      <c r="O66" s="1" t="s">
        <v>35</v>
      </c>
      <c r="P66" s="1" t="s">
        <v>35</v>
      </c>
      <c r="Q66" s="1" t="s">
        <v>35</v>
      </c>
      <c r="R66" s="1">
        <v>-1</v>
      </c>
      <c r="S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6" s="1" t="s">
        <v>35</v>
      </c>
      <c r="U6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6" s="1" t="s">
        <v>35</v>
      </c>
      <c r="W6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6" s="7">
        <v>360</v>
      </c>
      <c r="Y66" s="7" t="str">
        <f>Tabella2[[#This Row],[Mean RADIAL stress  (MPa)]]</f>
        <v>Null</v>
      </c>
      <c r="Z66" s="7" t="str">
        <f>Tabella2[[#This Row],[Amplitute RADIAL stress  (MPa)]]</f>
        <v>Null</v>
      </c>
      <c r="AA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193961.93043263382</v>
      </c>
      <c r="AG66" s="1">
        <f>IF(
   AND(ISNUMBER(Tabella2[[#This Row],[Mean TORQUE (Nmm)]]), ISNUMBER(Tabella2[[#This Row],[Amplitude TORQUE (Nmm)]])),
   Tabella2[[#This Row],[Mean TORQUE (Nmm)]]+Tabella2[[#This Row],[Amplitude TORQUE (Nmm)]],
   "Null"
)</f>
        <v>193961.93043263382</v>
      </c>
      <c r="AH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623.53829072479584</v>
      </c>
      <c r="AI6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7" spans="1:35" x14ac:dyDescent="0.25">
      <c r="A67" s="1" t="s">
        <v>50</v>
      </c>
      <c r="B67" s="1">
        <v>2022</v>
      </c>
      <c r="C67" s="1" t="s">
        <v>92</v>
      </c>
      <c r="D67" s="1" t="s">
        <v>125</v>
      </c>
      <c r="E67" s="1">
        <v>5000000</v>
      </c>
      <c r="F67" s="1" t="s">
        <v>64</v>
      </c>
      <c r="G67" s="1" t="s">
        <v>43</v>
      </c>
      <c r="H67" s="1" t="e" vm="3">
        <v>#VALUE!</v>
      </c>
      <c r="I67" s="1" t="s">
        <v>45</v>
      </c>
      <c r="J67" s="1" t="s">
        <v>34</v>
      </c>
      <c r="K67" s="1">
        <v>14</v>
      </c>
      <c r="L67" s="8">
        <f>PI()*(Tabella2[[#This Row],[Diameter (mm)]]/2)^2</f>
        <v>153.93804002589985</v>
      </c>
      <c r="M67" s="8">
        <f>(PI()*Tabella2[[#This Row],[Diameter (mm)]]^4)/32</f>
        <v>3771.4819806345467</v>
      </c>
      <c r="N67" s="1" t="s">
        <v>35</v>
      </c>
      <c r="O67" s="1" t="s">
        <v>35</v>
      </c>
      <c r="P67" s="1" t="s">
        <v>35</v>
      </c>
      <c r="Q67" s="1" t="s">
        <v>35</v>
      </c>
      <c r="R67" s="1">
        <v>-1</v>
      </c>
      <c r="S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7" s="1" t="s">
        <v>35</v>
      </c>
      <c r="U6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7" s="1" t="s">
        <v>35</v>
      </c>
      <c r="W6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7" s="7">
        <v>340</v>
      </c>
      <c r="Y67" s="7" t="str">
        <f>Tabella2[[#This Row],[Mean RADIAL stress  (MPa)]]</f>
        <v>Null</v>
      </c>
      <c r="Z67" s="7" t="str">
        <f>Tabella2[[#This Row],[Amplitute RADIAL stress  (MPa)]]</f>
        <v>Null</v>
      </c>
      <c r="AA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183186.26763082083</v>
      </c>
      <c r="AG67" s="1">
        <f>IF(
   AND(ISNUMBER(Tabella2[[#This Row],[Mean TORQUE (Nmm)]]), ISNUMBER(Tabella2[[#This Row],[Amplitude TORQUE (Nmm)]])),
   Tabella2[[#This Row],[Mean TORQUE (Nmm)]]+Tabella2[[#This Row],[Amplitude TORQUE (Nmm)]],
   "Null"
)</f>
        <v>183186.26763082083</v>
      </c>
      <c r="AH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588.89727457341826</v>
      </c>
      <c r="AI6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8" spans="1:35" x14ac:dyDescent="0.25">
      <c r="A68" s="1" t="s">
        <v>50</v>
      </c>
      <c r="B68" s="1">
        <v>2022</v>
      </c>
      <c r="C68" s="1" t="s">
        <v>92</v>
      </c>
      <c r="D68" s="1" t="s">
        <v>126</v>
      </c>
      <c r="E68" s="1">
        <v>591086</v>
      </c>
      <c r="F68" s="1" t="s">
        <v>34</v>
      </c>
      <c r="G68" s="1" t="s">
        <v>43</v>
      </c>
      <c r="H68" s="1" t="e" vm="3">
        <v>#VALUE!</v>
      </c>
      <c r="I68" s="1" t="s">
        <v>45</v>
      </c>
      <c r="J68" s="1" t="s">
        <v>34</v>
      </c>
      <c r="K68" s="1">
        <v>14</v>
      </c>
      <c r="L68" s="8">
        <f>PI()*(Tabella2[[#This Row],[Diameter (mm)]]/2)^2</f>
        <v>153.93804002589985</v>
      </c>
      <c r="M68" s="8">
        <f>(PI()*Tabella2[[#This Row],[Diameter (mm)]]^4)/32</f>
        <v>3771.4819806345467</v>
      </c>
      <c r="N68" s="1" t="s">
        <v>35</v>
      </c>
      <c r="O68" s="1" t="s">
        <v>35</v>
      </c>
      <c r="P68" s="1" t="s">
        <v>35</v>
      </c>
      <c r="Q68" s="1" t="s">
        <v>35</v>
      </c>
      <c r="R68" s="1">
        <v>-1</v>
      </c>
      <c r="S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8" s="1" t="s">
        <v>35</v>
      </c>
      <c r="U6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8" s="1" t="s">
        <v>35</v>
      </c>
      <c r="W6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8" s="7">
        <v>360</v>
      </c>
      <c r="Y68" s="7" t="str">
        <f>Tabella2[[#This Row],[Mean RADIAL stress  (MPa)]]</f>
        <v>Null</v>
      </c>
      <c r="Z68" s="7" t="str">
        <f>Tabella2[[#This Row],[Amplitute RADIAL stress  (MPa)]]</f>
        <v>Null</v>
      </c>
      <c r="AA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193961.93043263382</v>
      </c>
      <c r="AG68" s="1">
        <f>IF(
   AND(ISNUMBER(Tabella2[[#This Row],[Mean TORQUE (Nmm)]]), ISNUMBER(Tabella2[[#This Row],[Amplitude TORQUE (Nmm)]])),
   Tabella2[[#This Row],[Mean TORQUE (Nmm)]]+Tabella2[[#This Row],[Amplitude TORQUE (Nmm)]],
   "Null"
)</f>
        <v>193961.93043263382</v>
      </c>
      <c r="AH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623.53829072479584</v>
      </c>
      <c r="AI6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9" spans="1:35" x14ac:dyDescent="0.25">
      <c r="A69" s="1" t="s">
        <v>50</v>
      </c>
      <c r="B69" s="1">
        <v>2022</v>
      </c>
      <c r="C69" s="1" t="s">
        <v>92</v>
      </c>
      <c r="D69" s="1" t="s">
        <v>127</v>
      </c>
      <c r="E69" s="1">
        <v>1297038</v>
      </c>
      <c r="F69" s="1" t="s">
        <v>34</v>
      </c>
      <c r="G69" s="1" t="s">
        <v>43</v>
      </c>
      <c r="H69" s="1" t="e" vm="3">
        <v>#VALUE!</v>
      </c>
      <c r="I69" s="1" t="s">
        <v>45</v>
      </c>
      <c r="J69" s="1" t="s">
        <v>34</v>
      </c>
      <c r="K69" s="1">
        <v>14</v>
      </c>
      <c r="L69" s="8">
        <f>PI()*(Tabella2[[#This Row],[Diameter (mm)]]/2)^2</f>
        <v>153.93804002589985</v>
      </c>
      <c r="M69" s="8">
        <f>(PI()*Tabella2[[#This Row],[Diameter (mm)]]^4)/32</f>
        <v>3771.4819806345467</v>
      </c>
      <c r="N69" s="1" t="s">
        <v>35</v>
      </c>
      <c r="O69" s="1" t="s">
        <v>35</v>
      </c>
      <c r="P69" s="1" t="s">
        <v>35</v>
      </c>
      <c r="Q69" s="1" t="s">
        <v>35</v>
      </c>
      <c r="R69" s="1">
        <v>-1</v>
      </c>
      <c r="S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9" s="1" t="s">
        <v>35</v>
      </c>
      <c r="U6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9" s="1" t="s">
        <v>35</v>
      </c>
      <c r="W6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9" s="7">
        <v>340</v>
      </c>
      <c r="Y69" s="7" t="str">
        <f>Tabella2[[#This Row],[Mean RADIAL stress  (MPa)]]</f>
        <v>Null</v>
      </c>
      <c r="Z69" s="7" t="str">
        <f>Tabella2[[#This Row],[Amplitute RADIAL stress  (MPa)]]</f>
        <v>Null</v>
      </c>
      <c r="AA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183186.26763082083</v>
      </c>
      <c r="AG69" s="1">
        <f>IF(
   AND(ISNUMBER(Tabella2[[#This Row],[Mean TORQUE (Nmm)]]), ISNUMBER(Tabella2[[#This Row],[Amplitude TORQUE (Nmm)]])),
   Tabella2[[#This Row],[Mean TORQUE (Nmm)]]+Tabella2[[#This Row],[Amplitude TORQUE (Nmm)]],
   "Null"
)</f>
        <v>183186.26763082083</v>
      </c>
      <c r="AH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588.89727457341826</v>
      </c>
      <c r="AI6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0" spans="1:35" x14ac:dyDescent="0.25">
      <c r="A70" s="1" t="s">
        <v>50</v>
      </c>
      <c r="B70" s="1">
        <v>2022</v>
      </c>
      <c r="C70" s="1" t="s">
        <v>92</v>
      </c>
      <c r="D70" s="1" t="s">
        <v>128</v>
      </c>
      <c r="E70" s="1">
        <v>5000000</v>
      </c>
      <c r="F70" s="1" t="s">
        <v>64</v>
      </c>
      <c r="G70" s="1" t="s">
        <v>43</v>
      </c>
      <c r="H70" s="1" t="e" vm="3">
        <v>#VALUE!</v>
      </c>
      <c r="I70" s="1" t="s">
        <v>45</v>
      </c>
      <c r="J70" s="1" t="s">
        <v>34</v>
      </c>
      <c r="K70" s="1">
        <v>14</v>
      </c>
      <c r="L70" s="8">
        <f>PI()*(Tabella2[[#This Row],[Diameter (mm)]]/2)^2</f>
        <v>153.93804002589985</v>
      </c>
      <c r="M70" s="8">
        <f>(PI()*Tabella2[[#This Row],[Diameter (mm)]]^4)/32</f>
        <v>3771.4819806345467</v>
      </c>
      <c r="N70" s="1" t="s">
        <v>35</v>
      </c>
      <c r="O70" s="1" t="s">
        <v>35</v>
      </c>
      <c r="P70" s="1" t="s">
        <v>35</v>
      </c>
      <c r="Q70" s="1" t="s">
        <v>35</v>
      </c>
      <c r="R70" s="1">
        <v>-1</v>
      </c>
      <c r="S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0" s="1" t="s">
        <v>35</v>
      </c>
      <c r="U7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0" s="1" t="s">
        <v>35</v>
      </c>
      <c r="W7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0" s="7">
        <v>340</v>
      </c>
      <c r="Y70" s="7" t="str">
        <f>Tabella2[[#This Row],[Mean RADIAL stress  (MPa)]]</f>
        <v>Null</v>
      </c>
      <c r="Z70" s="7" t="str">
        <f>Tabella2[[#This Row],[Amplitute RADIAL stress  (MPa)]]</f>
        <v>Null</v>
      </c>
      <c r="AA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183186.26763082083</v>
      </c>
      <c r="AG70" s="1">
        <f>IF(
   AND(ISNUMBER(Tabella2[[#This Row],[Mean TORQUE (Nmm)]]), ISNUMBER(Tabella2[[#This Row],[Amplitude TORQUE (Nmm)]])),
   Tabella2[[#This Row],[Mean TORQUE (Nmm)]]+Tabella2[[#This Row],[Amplitude TORQUE (Nmm)]],
   "Null"
)</f>
        <v>183186.26763082083</v>
      </c>
      <c r="AH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588.89727457341826</v>
      </c>
      <c r="AI7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1" spans="1:35" x14ac:dyDescent="0.25">
      <c r="A71" s="1" t="s">
        <v>50</v>
      </c>
      <c r="B71" s="1">
        <v>2022</v>
      </c>
      <c r="C71" s="1" t="s">
        <v>92</v>
      </c>
      <c r="D71" s="1" t="s">
        <v>129</v>
      </c>
      <c r="E71" s="1">
        <v>1162508</v>
      </c>
      <c r="F71" s="1" t="s">
        <v>34</v>
      </c>
      <c r="G71" s="1" t="s">
        <v>43</v>
      </c>
      <c r="H71" s="1" t="e" vm="3">
        <v>#VALUE!</v>
      </c>
      <c r="I71" s="1" t="s">
        <v>45</v>
      </c>
      <c r="J71" s="1" t="s">
        <v>34</v>
      </c>
      <c r="K71" s="1">
        <v>14</v>
      </c>
      <c r="L71" s="8">
        <f>PI()*(Tabella2[[#This Row],[Diameter (mm)]]/2)^2</f>
        <v>153.93804002589985</v>
      </c>
      <c r="M71" s="8">
        <f>(PI()*Tabella2[[#This Row],[Diameter (mm)]]^4)/32</f>
        <v>3771.4819806345467</v>
      </c>
      <c r="N71" s="1" t="s">
        <v>35</v>
      </c>
      <c r="O71" s="1" t="s">
        <v>35</v>
      </c>
      <c r="P71" s="1" t="s">
        <v>35</v>
      </c>
      <c r="Q71" s="1" t="s">
        <v>35</v>
      </c>
      <c r="R71" s="1">
        <v>-1</v>
      </c>
      <c r="S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1" s="1" t="s">
        <v>35</v>
      </c>
      <c r="U7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1" s="1" t="s">
        <v>35</v>
      </c>
      <c r="W7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1" s="7">
        <v>360</v>
      </c>
      <c r="Y71" s="7" t="str">
        <f>Tabella2[[#This Row],[Mean RADIAL stress  (MPa)]]</f>
        <v>Null</v>
      </c>
      <c r="Z71" s="7" t="str">
        <f>Tabella2[[#This Row],[Amplitute RADIAL stress  (MPa)]]</f>
        <v>Null</v>
      </c>
      <c r="AA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193961.93043263382</v>
      </c>
      <c r="AG71" s="1">
        <f>IF(
   AND(ISNUMBER(Tabella2[[#This Row],[Mean TORQUE (Nmm)]]), ISNUMBER(Tabella2[[#This Row],[Amplitude TORQUE (Nmm)]])),
   Tabella2[[#This Row],[Mean TORQUE (Nmm)]]+Tabella2[[#This Row],[Amplitude TORQUE (Nmm)]],
   "Null"
)</f>
        <v>193961.93043263382</v>
      </c>
      <c r="AH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623.53829072479584</v>
      </c>
      <c r="AI7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2" spans="1:35" x14ac:dyDescent="0.25">
      <c r="A72" s="1" t="s">
        <v>50</v>
      </c>
      <c r="B72" s="1">
        <v>2022</v>
      </c>
      <c r="C72" s="1" t="s">
        <v>92</v>
      </c>
      <c r="D72" s="1" t="s">
        <v>130</v>
      </c>
      <c r="E72" s="1">
        <v>64471</v>
      </c>
      <c r="F72" s="1" t="s">
        <v>34</v>
      </c>
      <c r="G72" s="1" t="s">
        <v>43</v>
      </c>
      <c r="H72" s="1" t="e" vm="3">
        <v>#VALUE!</v>
      </c>
      <c r="I72" s="1" t="s">
        <v>45</v>
      </c>
      <c r="J72" s="1" t="s">
        <v>34</v>
      </c>
      <c r="K72" s="1">
        <v>14</v>
      </c>
      <c r="L72" s="8">
        <f>PI()*(Tabella2[[#This Row],[Diameter (mm)]]/2)^2</f>
        <v>153.93804002589985</v>
      </c>
      <c r="M72" s="8">
        <f>(PI()*Tabella2[[#This Row],[Diameter (mm)]]^4)/32</f>
        <v>3771.4819806345467</v>
      </c>
      <c r="N72" s="1" t="s">
        <v>35</v>
      </c>
      <c r="O72" s="1" t="s">
        <v>35</v>
      </c>
      <c r="P72" s="1" t="s">
        <v>35</v>
      </c>
      <c r="Q72" s="1" t="s">
        <v>35</v>
      </c>
      <c r="R72" s="1">
        <v>-1</v>
      </c>
      <c r="S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2" s="1" t="s">
        <v>35</v>
      </c>
      <c r="U7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2" s="1" t="s">
        <v>35</v>
      </c>
      <c r="W7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2" s="7">
        <v>400</v>
      </c>
      <c r="Y72" s="7" t="str">
        <f>Tabella2[[#This Row],[Mean RADIAL stress  (MPa)]]</f>
        <v>Null</v>
      </c>
      <c r="Z72" s="7" t="str">
        <f>Tabella2[[#This Row],[Amplitute RADIAL stress  (MPa)]]</f>
        <v>Null</v>
      </c>
      <c r="AA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215513.25603625979</v>
      </c>
      <c r="AG72" s="1">
        <f>IF(
   AND(ISNUMBER(Tabella2[[#This Row],[Mean TORQUE (Nmm)]]), ISNUMBER(Tabella2[[#This Row],[Amplitude TORQUE (Nmm)]])),
   Tabella2[[#This Row],[Mean TORQUE (Nmm)]]+Tabella2[[#This Row],[Amplitude TORQUE (Nmm)]],
   "Null"
)</f>
        <v>215513.25603625979</v>
      </c>
      <c r="AH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692.8203230275509</v>
      </c>
      <c r="AI7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3" spans="1:35" x14ac:dyDescent="0.25">
      <c r="A73" s="1" t="s">
        <v>50</v>
      </c>
      <c r="B73" s="1">
        <v>2022</v>
      </c>
      <c r="C73" s="1" t="s">
        <v>92</v>
      </c>
      <c r="D73" s="1" t="s">
        <v>131</v>
      </c>
      <c r="E73" s="1">
        <v>5000000</v>
      </c>
      <c r="F73" s="1" t="s">
        <v>64</v>
      </c>
      <c r="G73" s="1" t="s">
        <v>43</v>
      </c>
      <c r="H73" s="1" t="e" vm="3">
        <v>#VALUE!</v>
      </c>
      <c r="I73" s="1" t="s">
        <v>45</v>
      </c>
      <c r="J73" s="1" t="s">
        <v>34</v>
      </c>
      <c r="K73" s="1">
        <v>14</v>
      </c>
      <c r="L73" s="8">
        <f>PI()*(Tabella2[[#This Row],[Diameter (mm)]]/2)^2</f>
        <v>153.93804002589985</v>
      </c>
      <c r="M73" s="8">
        <f>(PI()*Tabella2[[#This Row],[Diameter (mm)]]^4)/32</f>
        <v>3771.4819806345467</v>
      </c>
      <c r="N73" s="1" t="s">
        <v>35</v>
      </c>
      <c r="O73" s="1" t="s">
        <v>35</v>
      </c>
      <c r="P73" s="1" t="s">
        <v>35</v>
      </c>
      <c r="Q73" s="1" t="s">
        <v>35</v>
      </c>
      <c r="R73" s="1">
        <v>-1</v>
      </c>
      <c r="S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3" s="1" t="s">
        <v>35</v>
      </c>
      <c r="U7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3" s="1" t="s">
        <v>35</v>
      </c>
      <c r="W7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3" s="7">
        <v>330</v>
      </c>
      <c r="Y73" s="7" t="str">
        <f>Tabella2[[#This Row],[Mean RADIAL stress  (MPa)]]</f>
        <v>Null</v>
      </c>
      <c r="Z73" s="7" t="str">
        <f>Tabella2[[#This Row],[Amplitute RADIAL stress  (MPa)]]</f>
        <v>Null</v>
      </c>
      <c r="AA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177798.43622991437</v>
      </c>
      <c r="AG73" s="1">
        <f>IF(
   AND(ISNUMBER(Tabella2[[#This Row],[Mean TORQUE (Nmm)]]), ISNUMBER(Tabella2[[#This Row],[Amplitude TORQUE (Nmm)]])),
   Tabella2[[#This Row],[Mean TORQUE (Nmm)]]+Tabella2[[#This Row],[Amplitude TORQUE (Nmm)]],
   "Null"
)</f>
        <v>177798.43622991437</v>
      </c>
      <c r="AH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571.57676649772952</v>
      </c>
      <c r="AI7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4" spans="1:35" x14ac:dyDescent="0.25">
      <c r="A74" s="1" t="s">
        <v>50</v>
      </c>
      <c r="B74" s="1">
        <v>2022</v>
      </c>
      <c r="C74" s="1" t="s">
        <v>92</v>
      </c>
      <c r="D74" s="1" t="s">
        <v>132</v>
      </c>
      <c r="E74" s="1">
        <v>2727865</v>
      </c>
      <c r="F74" s="1" t="s">
        <v>34</v>
      </c>
      <c r="G74" s="1" t="s">
        <v>43</v>
      </c>
      <c r="H74" s="1" t="e" vm="3">
        <v>#VALUE!</v>
      </c>
      <c r="I74" s="1" t="s">
        <v>45</v>
      </c>
      <c r="J74" s="1" t="s">
        <v>34</v>
      </c>
      <c r="K74" s="1">
        <v>14</v>
      </c>
      <c r="L74" s="8">
        <f>PI()*(Tabella2[[#This Row],[Diameter (mm)]]/2)^2</f>
        <v>153.93804002589985</v>
      </c>
      <c r="M74" s="8">
        <f>(PI()*Tabella2[[#This Row],[Diameter (mm)]]^4)/32</f>
        <v>3771.4819806345467</v>
      </c>
      <c r="N74" s="1" t="s">
        <v>35</v>
      </c>
      <c r="O74" s="1" t="s">
        <v>35</v>
      </c>
      <c r="P74" s="1" t="s">
        <v>35</v>
      </c>
      <c r="Q74" s="1" t="s">
        <v>35</v>
      </c>
      <c r="R74" s="1">
        <v>-1</v>
      </c>
      <c r="S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4" s="1" t="s">
        <v>35</v>
      </c>
      <c r="U7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4" s="1" t="s">
        <v>35</v>
      </c>
      <c r="W7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4" s="7">
        <v>330</v>
      </c>
      <c r="Y74" s="7" t="str">
        <f>Tabella2[[#This Row],[Mean RADIAL stress  (MPa)]]</f>
        <v>Null</v>
      </c>
      <c r="Z74" s="7" t="str">
        <f>Tabella2[[#This Row],[Amplitute RADIAL stress  (MPa)]]</f>
        <v>Null</v>
      </c>
      <c r="AA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177798.43622991437</v>
      </c>
      <c r="AG74" s="1">
        <f>IF(
   AND(ISNUMBER(Tabella2[[#This Row],[Mean TORQUE (Nmm)]]), ISNUMBER(Tabella2[[#This Row],[Amplitude TORQUE (Nmm)]])),
   Tabella2[[#This Row],[Mean TORQUE (Nmm)]]+Tabella2[[#This Row],[Amplitude TORQUE (Nmm)]],
   "Null"
)</f>
        <v>177798.43622991437</v>
      </c>
      <c r="AH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571.57676649772952</v>
      </c>
      <c r="AI7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5" spans="1:35" x14ac:dyDescent="0.25">
      <c r="A75" s="1" t="s">
        <v>50</v>
      </c>
      <c r="B75" s="1">
        <v>2022</v>
      </c>
      <c r="C75" s="1" t="s">
        <v>92</v>
      </c>
      <c r="D75" s="1" t="s">
        <v>133</v>
      </c>
      <c r="E75" s="1">
        <v>5000000</v>
      </c>
      <c r="F75" s="1" t="s">
        <v>64</v>
      </c>
      <c r="G75" s="1" t="s">
        <v>43</v>
      </c>
      <c r="H75" s="1" t="e" vm="3">
        <v>#VALUE!</v>
      </c>
      <c r="I75" s="1" t="s">
        <v>45</v>
      </c>
      <c r="J75" s="1" t="s">
        <v>34</v>
      </c>
      <c r="K75" s="1">
        <v>14</v>
      </c>
      <c r="L75" s="8">
        <f>PI()*(Tabella2[[#This Row],[Diameter (mm)]]/2)^2</f>
        <v>153.93804002589985</v>
      </c>
      <c r="M75" s="8">
        <f>(PI()*Tabella2[[#This Row],[Diameter (mm)]]^4)/32</f>
        <v>3771.4819806345467</v>
      </c>
      <c r="N75" s="1" t="s">
        <v>35</v>
      </c>
      <c r="O75" s="1" t="s">
        <v>35</v>
      </c>
      <c r="P75" s="1" t="s">
        <v>35</v>
      </c>
      <c r="Q75" s="1" t="s">
        <v>35</v>
      </c>
      <c r="R75" s="1">
        <v>0.1</v>
      </c>
      <c r="S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5" s="1" t="s">
        <v>35</v>
      </c>
      <c r="U7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5" s="1" t="s">
        <v>35</v>
      </c>
      <c r="W75" s="7">
        <f>IF(ISNUMBER(Tabella2[[#This Row],[Amplitute SHEAR stress  (MPa)]]), (1+Tabella2[[#This Row],[Load ratio (TORSIONAL)]])*Tabella2[[#This Row],[Amplitute SHEAR stress  (MPa)]]/(1-Tabella2[[#This Row],[Load ratio (TORSIONAL)]]), "Null")</f>
        <v>305.55555555555554</v>
      </c>
      <c r="X75" s="7">
        <v>250</v>
      </c>
      <c r="Y75" s="7" t="str">
        <f>Tabella2[[#This Row],[Mean RADIAL stress  (MPa)]]</f>
        <v>Null</v>
      </c>
      <c r="Z75" s="7" t="str">
        <f>Tabella2[[#This Row],[Amplitute RADIAL stress  (MPa)]]</f>
        <v>Null</v>
      </c>
      <c r="AA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164628.18169436514</v>
      </c>
      <c r="AF7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134695.7850226624</v>
      </c>
      <c r="AG75" s="1">
        <f>IF(
   AND(ISNUMBER(Tabella2[[#This Row],[Mean TORQUE (Nmm)]]), ISNUMBER(Tabella2[[#This Row],[Amplitude TORQUE (Nmm)]])),
   Tabella2[[#This Row],[Mean TORQUE (Nmm)]]+Tabella2[[#This Row],[Amplitude TORQUE (Nmm)]],
   "Null"
)</f>
        <v>299323.96671702754</v>
      </c>
      <c r="AH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  <c r="AI7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6" spans="1:35" x14ac:dyDescent="0.25">
      <c r="A76" s="1" t="s">
        <v>50</v>
      </c>
      <c r="B76" s="1">
        <v>2022</v>
      </c>
      <c r="C76" s="1" t="s">
        <v>92</v>
      </c>
      <c r="D76" s="1" t="s">
        <v>134</v>
      </c>
      <c r="E76" s="1">
        <v>144928</v>
      </c>
      <c r="F76" s="1" t="s">
        <v>34</v>
      </c>
      <c r="G76" s="1" t="s">
        <v>43</v>
      </c>
      <c r="H76" s="1" t="e" vm="3">
        <v>#VALUE!</v>
      </c>
      <c r="I76" s="1" t="s">
        <v>45</v>
      </c>
      <c r="J76" s="1" t="s">
        <v>34</v>
      </c>
      <c r="K76" s="1">
        <v>14</v>
      </c>
      <c r="L76" s="8">
        <f>PI()*(Tabella2[[#This Row],[Diameter (mm)]]/2)^2</f>
        <v>153.93804002589985</v>
      </c>
      <c r="M76" s="8">
        <f>(PI()*Tabella2[[#This Row],[Diameter (mm)]]^4)/32</f>
        <v>3771.4819806345467</v>
      </c>
      <c r="N76" s="1" t="s">
        <v>35</v>
      </c>
      <c r="O76" s="1" t="s">
        <v>35</v>
      </c>
      <c r="P76" s="1" t="s">
        <v>35</v>
      </c>
      <c r="Q76" s="1" t="s">
        <v>35</v>
      </c>
      <c r="R76" s="1">
        <v>0.1</v>
      </c>
      <c r="S7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6" s="1" t="s">
        <v>35</v>
      </c>
      <c r="U7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6" s="1" t="s">
        <v>35</v>
      </c>
      <c r="W76" s="7">
        <f>IF(ISNUMBER(Tabella2[[#This Row],[Amplitute SHEAR stress  (MPa)]]), (1+Tabella2[[#This Row],[Load ratio (TORSIONAL)]])*Tabella2[[#This Row],[Amplitute SHEAR stress  (MPa)]]/(1-Tabella2[[#This Row],[Load ratio (TORSIONAL)]]), "Null")</f>
        <v>366.66666666666669</v>
      </c>
      <c r="X76" s="7">
        <v>300</v>
      </c>
      <c r="Y76" s="7" t="str">
        <f>Tabella2[[#This Row],[Mean RADIAL stress  (MPa)]]</f>
        <v>Null</v>
      </c>
      <c r="Z76" s="7" t="str">
        <f>Tabella2[[#This Row],[Amplitute RADIAL stress  (MPa)]]</f>
        <v>Null</v>
      </c>
      <c r="AA7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197553.81803323817</v>
      </c>
      <c r="AF7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161634.94202719486</v>
      </c>
      <c r="AG76" s="1">
        <f>IF(
   AND(ISNUMBER(Tabella2[[#This Row],[Mean TORQUE (Nmm)]]), ISNUMBER(Tabella2[[#This Row],[Amplitude TORQUE (Nmm)]])),
   Tabella2[[#This Row],[Mean TORQUE (Nmm)]]+Tabella2[[#This Row],[Amplitude TORQUE (Nmm)]],
   "Null"
)</f>
        <v>359188.76006043307</v>
      </c>
      <c r="AH7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7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7" spans="1:35" x14ac:dyDescent="0.25">
      <c r="A77" s="1" t="s">
        <v>50</v>
      </c>
      <c r="B77" s="1">
        <v>2022</v>
      </c>
      <c r="C77" s="1" t="s">
        <v>92</v>
      </c>
      <c r="D77" s="1" t="s">
        <v>135</v>
      </c>
      <c r="E77" s="1">
        <v>741986</v>
      </c>
      <c r="F77" s="1" t="s">
        <v>34</v>
      </c>
      <c r="G77" s="1" t="s">
        <v>43</v>
      </c>
      <c r="H77" s="1" t="e" vm="3">
        <v>#VALUE!</v>
      </c>
      <c r="I77" s="1" t="s">
        <v>45</v>
      </c>
      <c r="J77" s="1" t="s">
        <v>34</v>
      </c>
      <c r="K77" s="1">
        <v>14</v>
      </c>
      <c r="L77" s="8">
        <f>PI()*(Tabella2[[#This Row],[Diameter (mm)]]/2)^2</f>
        <v>153.93804002589985</v>
      </c>
      <c r="M77" s="8">
        <f>(PI()*Tabella2[[#This Row],[Diameter (mm)]]^4)/32</f>
        <v>3771.4819806345467</v>
      </c>
      <c r="N77" s="1" t="s">
        <v>35</v>
      </c>
      <c r="O77" s="1" t="s">
        <v>35</v>
      </c>
      <c r="P77" s="1" t="s">
        <v>35</v>
      </c>
      <c r="Q77" s="1" t="s">
        <v>35</v>
      </c>
      <c r="R77" s="1">
        <v>0.1</v>
      </c>
      <c r="S7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7" s="1" t="s">
        <v>35</v>
      </c>
      <c r="U7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7" s="1" t="s">
        <v>35</v>
      </c>
      <c r="W77" s="7">
        <f>IF(ISNUMBER(Tabella2[[#This Row],[Amplitute SHEAR stress  (MPa)]]), (1+Tabella2[[#This Row],[Load ratio (TORSIONAL)]])*Tabella2[[#This Row],[Amplitute SHEAR stress  (MPa)]]/(1-Tabella2[[#This Row],[Load ratio (TORSIONAL)]]), "Null")</f>
        <v>342.22222222222223</v>
      </c>
      <c r="X77" s="7">
        <v>280</v>
      </c>
      <c r="Y77" s="7" t="str">
        <f>Tabella2[[#This Row],[Mean RADIAL stress  (MPa)]]</f>
        <v>Null</v>
      </c>
      <c r="Z77" s="7" t="str">
        <f>Tabella2[[#This Row],[Amplitute RADIAL stress  (MPa)]]</f>
        <v>Null</v>
      </c>
      <c r="AA7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184383.56349768894</v>
      </c>
      <c r="AF7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150859.27922538185</v>
      </c>
      <c r="AG77" s="1">
        <f>IF(
   AND(ISNUMBER(Tabella2[[#This Row],[Mean TORQUE (Nmm)]]), ISNUMBER(Tabella2[[#This Row],[Amplitude TORQUE (Nmm)]])),
   Tabella2[[#This Row],[Mean TORQUE (Nmm)]]+Tabella2[[#This Row],[Amplitude TORQUE (Nmm)]],
   "Null"
)</f>
        <v>335242.84272307076</v>
      </c>
      <c r="AH7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484.97422611928562</v>
      </c>
      <c r="AI7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8" spans="1:35" x14ac:dyDescent="0.25">
      <c r="A78" s="1" t="s">
        <v>50</v>
      </c>
      <c r="B78" s="1">
        <v>2022</v>
      </c>
      <c r="C78" s="1" t="s">
        <v>92</v>
      </c>
      <c r="D78" s="1" t="s">
        <v>136</v>
      </c>
      <c r="E78" s="1">
        <v>174751</v>
      </c>
      <c r="F78" s="1" t="s">
        <v>34</v>
      </c>
      <c r="G78" s="1" t="s">
        <v>43</v>
      </c>
      <c r="H78" s="1" t="e" vm="3">
        <v>#VALUE!</v>
      </c>
      <c r="I78" s="1" t="s">
        <v>45</v>
      </c>
      <c r="J78" s="1" t="s">
        <v>34</v>
      </c>
      <c r="K78" s="1">
        <v>14</v>
      </c>
      <c r="L78" s="8">
        <f>PI()*(Tabella2[[#This Row],[Diameter (mm)]]/2)^2</f>
        <v>153.93804002589985</v>
      </c>
      <c r="M78" s="8">
        <f>(PI()*Tabella2[[#This Row],[Diameter (mm)]]^4)/32</f>
        <v>3771.4819806345467</v>
      </c>
      <c r="N78" s="1" t="s">
        <v>35</v>
      </c>
      <c r="O78" s="1" t="s">
        <v>35</v>
      </c>
      <c r="P78" s="1" t="s">
        <v>35</v>
      </c>
      <c r="Q78" s="1" t="s">
        <v>35</v>
      </c>
      <c r="R78" s="1">
        <v>0.1</v>
      </c>
      <c r="S7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8" s="1" t="s">
        <v>35</v>
      </c>
      <c r="U7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8" s="1" t="s">
        <v>35</v>
      </c>
      <c r="W78" s="7">
        <f>IF(ISNUMBER(Tabella2[[#This Row],[Amplitute SHEAR stress  (MPa)]]), (1+Tabella2[[#This Row],[Load ratio (TORSIONAL)]])*Tabella2[[#This Row],[Amplitute SHEAR stress  (MPa)]]/(1-Tabella2[[#This Row],[Load ratio (TORSIONAL)]]), "Null")</f>
        <v>366.66666666666669</v>
      </c>
      <c r="X78" s="1">
        <v>300</v>
      </c>
      <c r="Y78" s="7" t="str">
        <f>Tabella2[[#This Row],[Mean RADIAL stress  (MPa)]]</f>
        <v>Null</v>
      </c>
      <c r="Z78" s="7" t="str">
        <f>Tabella2[[#This Row],[Amplitute RADIAL stress  (MPa)]]</f>
        <v>Null</v>
      </c>
      <c r="AA7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197553.81803323817</v>
      </c>
      <c r="AF7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161634.94202719486</v>
      </c>
      <c r="AG78" s="1">
        <f>IF(
   AND(ISNUMBER(Tabella2[[#This Row],[Mean TORQUE (Nmm)]]), ISNUMBER(Tabella2[[#This Row],[Amplitude TORQUE (Nmm)]])),
   Tabella2[[#This Row],[Mean TORQUE (Nmm)]]+Tabella2[[#This Row],[Amplitude TORQUE (Nmm)]],
   "Null"
)</f>
        <v>359188.76006043307</v>
      </c>
      <c r="AH7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7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9" spans="1:35" x14ac:dyDescent="0.25">
      <c r="A79" s="1" t="s">
        <v>50</v>
      </c>
      <c r="B79" s="1">
        <v>2022</v>
      </c>
      <c r="C79" s="1" t="s">
        <v>92</v>
      </c>
      <c r="D79" s="1" t="s">
        <v>137</v>
      </c>
      <c r="E79" s="1">
        <v>5000000</v>
      </c>
      <c r="F79" s="1" t="s">
        <v>64</v>
      </c>
      <c r="G79" s="1" t="s">
        <v>43</v>
      </c>
      <c r="H79" s="1" t="e" vm="3">
        <v>#VALUE!</v>
      </c>
      <c r="I79" s="1" t="s">
        <v>45</v>
      </c>
      <c r="J79" s="1" t="s">
        <v>34</v>
      </c>
      <c r="K79" s="1">
        <v>14</v>
      </c>
      <c r="L79" s="8">
        <f>PI()*(Tabella2[[#This Row],[Diameter (mm)]]/2)^2</f>
        <v>153.93804002589985</v>
      </c>
      <c r="M79" s="8">
        <f>(PI()*Tabella2[[#This Row],[Diameter (mm)]]^4)/32</f>
        <v>3771.4819806345467</v>
      </c>
      <c r="N79" s="1" t="s">
        <v>35</v>
      </c>
      <c r="O79" s="1" t="s">
        <v>35</v>
      </c>
      <c r="P79" s="1" t="s">
        <v>35</v>
      </c>
      <c r="Q79" s="1" t="s">
        <v>35</v>
      </c>
      <c r="R79" s="1">
        <v>0.1</v>
      </c>
      <c r="S7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9" s="1" t="s">
        <v>35</v>
      </c>
      <c r="U7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9" s="1" t="s">
        <v>35</v>
      </c>
      <c r="W79" s="7">
        <f>IF(ISNUMBER(Tabella2[[#This Row],[Amplitute SHEAR stress  (MPa)]]), (1+Tabella2[[#This Row],[Load ratio (TORSIONAL)]])*Tabella2[[#This Row],[Amplitute SHEAR stress  (MPa)]]/(1-Tabella2[[#This Row],[Load ratio (TORSIONAL)]]), "Null")</f>
        <v>317.77777777777777</v>
      </c>
      <c r="X79" s="1">
        <v>260</v>
      </c>
      <c r="Y79" s="7" t="str">
        <f>Tabella2[[#This Row],[Mean RADIAL stress  (MPa)]]</f>
        <v>Null</v>
      </c>
      <c r="Z79" s="7" t="str">
        <f>Tabella2[[#This Row],[Amplitute RADIAL stress  (MPa)]]</f>
        <v>Null</v>
      </c>
      <c r="AA7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171213.30896213974</v>
      </c>
      <c r="AF7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140083.61642356886</v>
      </c>
      <c r="AG79" s="1">
        <f>IF(
   AND(ISNUMBER(Tabella2[[#This Row],[Mean TORQUE (Nmm)]]), ISNUMBER(Tabella2[[#This Row],[Amplitude TORQUE (Nmm)]])),
   Tabella2[[#This Row],[Mean TORQUE (Nmm)]]+Tabella2[[#This Row],[Amplitude TORQUE (Nmm)]],
   "Null"
)</f>
        <v>311296.92538570857</v>
      </c>
      <c r="AH7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450.33320996790809</v>
      </c>
      <c r="AI7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0" spans="1:35" x14ac:dyDescent="0.25">
      <c r="A80" s="1" t="s">
        <v>50</v>
      </c>
      <c r="B80" s="1">
        <v>2022</v>
      </c>
      <c r="C80" s="1" t="s">
        <v>92</v>
      </c>
      <c r="D80" s="1" t="s">
        <v>138</v>
      </c>
      <c r="E80" s="1">
        <v>530148</v>
      </c>
      <c r="F80" s="1" t="s">
        <v>34</v>
      </c>
      <c r="G80" s="1" t="s">
        <v>43</v>
      </c>
      <c r="H80" s="1" t="e" vm="3">
        <v>#VALUE!</v>
      </c>
      <c r="I80" s="1" t="s">
        <v>45</v>
      </c>
      <c r="J80" s="1" t="s">
        <v>34</v>
      </c>
      <c r="K80" s="1">
        <v>14</v>
      </c>
      <c r="L80" s="8">
        <f>PI()*(Tabella2[[#This Row],[Diameter (mm)]]/2)^2</f>
        <v>153.93804002589985</v>
      </c>
      <c r="M80" s="8">
        <f>(PI()*Tabella2[[#This Row],[Diameter (mm)]]^4)/32</f>
        <v>3771.4819806345467</v>
      </c>
      <c r="N80" s="1" t="s">
        <v>35</v>
      </c>
      <c r="O80" s="1" t="s">
        <v>35</v>
      </c>
      <c r="P80" s="1" t="s">
        <v>35</v>
      </c>
      <c r="Q80" s="1" t="s">
        <v>35</v>
      </c>
      <c r="R80" s="1">
        <v>0.1</v>
      </c>
      <c r="S8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0" s="1" t="s">
        <v>35</v>
      </c>
      <c r="U8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0" s="1" t="s">
        <v>35</v>
      </c>
      <c r="W80" s="7">
        <f>IF(ISNUMBER(Tabella2[[#This Row],[Amplitute SHEAR stress  (MPa)]]), (1+Tabella2[[#This Row],[Load ratio (TORSIONAL)]])*Tabella2[[#This Row],[Amplitute SHEAR stress  (MPa)]]/(1-Tabella2[[#This Row],[Load ratio (TORSIONAL)]]), "Null")</f>
        <v>342.22222222222223</v>
      </c>
      <c r="X80" s="1">
        <v>280</v>
      </c>
      <c r="Y80" s="7" t="str">
        <f>Tabella2[[#This Row],[Mean RADIAL stress  (MPa)]]</f>
        <v>Null</v>
      </c>
      <c r="Z80" s="7" t="str">
        <f>Tabella2[[#This Row],[Amplitute RADIAL stress  (MPa)]]</f>
        <v>Null</v>
      </c>
      <c r="AA8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184383.56349768894</v>
      </c>
      <c r="AF8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150859.27922538185</v>
      </c>
      <c r="AG80" s="1">
        <f>IF(
   AND(ISNUMBER(Tabella2[[#This Row],[Mean TORQUE (Nmm)]]), ISNUMBER(Tabella2[[#This Row],[Amplitude TORQUE (Nmm)]])),
   Tabella2[[#This Row],[Mean TORQUE (Nmm)]]+Tabella2[[#This Row],[Amplitude TORQUE (Nmm)]],
   "Null"
)</f>
        <v>335242.84272307076</v>
      </c>
      <c r="AH8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484.97422611928562</v>
      </c>
      <c r="AI8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1" spans="1:35" x14ac:dyDescent="0.25">
      <c r="A81" s="1" t="s">
        <v>50</v>
      </c>
      <c r="B81" s="1">
        <v>2022</v>
      </c>
      <c r="C81" s="1" t="s">
        <v>92</v>
      </c>
      <c r="D81" s="1" t="s">
        <v>139</v>
      </c>
      <c r="E81" s="1">
        <v>637436</v>
      </c>
      <c r="F81" s="1" t="s">
        <v>34</v>
      </c>
      <c r="G81" s="1" t="s">
        <v>43</v>
      </c>
      <c r="H81" s="1" t="e" vm="3">
        <v>#VALUE!</v>
      </c>
      <c r="I81" s="1" t="s">
        <v>45</v>
      </c>
      <c r="J81" s="1" t="s">
        <v>34</v>
      </c>
      <c r="K81" s="1">
        <v>14</v>
      </c>
      <c r="L81" s="8">
        <f>PI()*(Tabella2[[#This Row],[Diameter (mm)]]/2)^2</f>
        <v>153.93804002589985</v>
      </c>
      <c r="M81" s="8">
        <f>(PI()*Tabella2[[#This Row],[Diameter (mm)]]^4)/32</f>
        <v>3771.4819806345467</v>
      </c>
      <c r="N81" s="1" t="s">
        <v>35</v>
      </c>
      <c r="O81" s="1" t="s">
        <v>35</v>
      </c>
      <c r="P81" s="1" t="s">
        <v>35</v>
      </c>
      <c r="Q81" s="1" t="s">
        <v>35</v>
      </c>
      <c r="R81" s="1">
        <v>0.1</v>
      </c>
      <c r="S8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1" s="1" t="s">
        <v>35</v>
      </c>
      <c r="U8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1" s="1" t="s">
        <v>35</v>
      </c>
      <c r="W81" s="7">
        <f>IF(ISNUMBER(Tabella2[[#This Row],[Amplitute SHEAR stress  (MPa)]]), (1+Tabella2[[#This Row],[Load ratio (TORSIONAL)]])*Tabella2[[#This Row],[Amplitute SHEAR stress  (MPa)]]/(1-Tabella2[[#This Row],[Load ratio (TORSIONAL)]]), "Null")</f>
        <v>342.22222222222223</v>
      </c>
      <c r="X81" s="1">
        <v>280</v>
      </c>
      <c r="Y81" s="7" t="str">
        <f>Tabella2[[#This Row],[Mean RADIAL stress  (MPa)]]</f>
        <v>Null</v>
      </c>
      <c r="Z81" s="7" t="str">
        <f>Tabella2[[#This Row],[Amplitute RADIAL stress  (MPa)]]</f>
        <v>Null</v>
      </c>
      <c r="AA8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184383.56349768894</v>
      </c>
      <c r="AF8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150859.27922538185</v>
      </c>
      <c r="AG81" s="1">
        <f>IF(
   AND(ISNUMBER(Tabella2[[#This Row],[Mean TORQUE (Nmm)]]), ISNUMBER(Tabella2[[#This Row],[Amplitude TORQUE (Nmm)]])),
   Tabella2[[#This Row],[Mean TORQUE (Nmm)]]+Tabella2[[#This Row],[Amplitude TORQUE (Nmm)]],
   "Null"
)</f>
        <v>335242.84272307076</v>
      </c>
      <c r="AH8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484.97422611928562</v>
      </c>
      <c r="AI8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2" spans="1:35" x14ac:dyDescent="0.25">
      <c r="A82" s="1" t="s">
        <v>50</v>
      </c>
      <c r="B82" s="1">
        <v>2022</v>
      </c>
      <c r="C82" s="1" t="s">
        <v>92</v>
      </c>
      <c r="D82" s="1" t="s">
        <v>140</v>
      </c>
      <c r="E82" s="1">
        <v>1292667</v>
      </c>
      <c r="F82" s="1" t="s">
        <v>34</v>
      </c>
      <c r="G82" s="1" t="s">
        <v>43</v>
      </c>
      <c r="H82" s="1" t="e" vm="3">
        <v>#VALUE!</v>
      </c>
      <c r="I82" s="1" t="s">
        <v>45</v>
      </c>
      <c r="J82" s="1" t="s">
        <v>34</v>
      </c>
      <c r="K82" s="1">
        <v>14</v>
      </c>
      <c r="L82" s="8">
        <f>PI()*(Tabella2[[#This Row],[Diameter (mm)]]/2)^2</f>
        <v>153.93804002589985</v>
      </c>
      <c r="M82" s="8">
        <f>(PI()*Tabella2[[#This Row],[Diameter (mm)]]^4)/32</f>
        <v>3771.4819806345467</v>
      </c>
      <c r="N82" s="1" t="s">
        <v>35</v>
      </c>
      <c r="O82" s="1" t="s">
        <v>35</v>
      </c>
      <c r="P82" s="1" t="s">
        <v>35</v>
      </c>
      <c r="Q82" s="1" t="s">
        <v>35</v>
      </c>
      <c r="R82" s="1">
        <v>0.1</v>
      </c>
      <c r="S8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2" s="1" t="s">
        <v>35</v>
      </c>
      <c r="U8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2" s="1" t="s">
        <v>35</v>
      </c>
      <c r="W82" s="7">
        <f>IF(ISNUMBER(Tabella2[[#This Row],[Amplitute SHEAR stress  (MPa)]]), (1+Tabella2[[#This Row],[Load ratio (TORSIONAL)]])*Tabella2[[#This Row],[Amplitute SHEAR stress  (MPa)]]/(1-Tabella2[[#This Row],[Load ratio (TORSIONAL)]]), "Null")</f>
        <v>330</v>
      </c>
      <c r="X82" s="1">
        <v>270</v>
      </c>
      <c r="Y82" s="7" t="str">
        <f>Tabella2[[#This Row],[Mean RADIAL stress  (MPa)]]</f>
        <v>Null</v>
      </c>
      <c r="Z82" s="7" t="str">
        <f>Tabella2[[#This Row],[Amplitute RADIAL stress  (MPa)]]</f>
        <v>Null</v>
      </c>
      <c r="AA8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177798.43622991437</v>
      </c>
      <c r="AF8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145471.44782447538</v>
      </c>
      <c r="AG82" s="1">
        <f>IF(
   AND(ISNUMBER(Tabella2[[#This Row],[Mean TORQUE (Nmm)]]), ISNUMBER(Tabella2[[#This Row],[Amplitude TORQUE (Nmm)]])),
   Tabella2[[#This Row],[Mean TORQUE (Nmm)]]+Tabella2[[#This Row],[Amplitude TORQUE (Nmm)]],
   "Null"
)</f>
        <v>323269.88405438978</v>
      </c>
      <c r="AH8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  <c r="AI8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3" spans="1:35" x14ac:dyDescent="0.25">
      <c r="A83" s="1" t="s">
        <v>50</v>
      </c>
      <c r="B83" s="1">
        <v>2022</v>
      </c>
      <c r="C83" s="1" t="s">
        <v>92</v>
      </c>
      <c r="D83" s="1" t="s">
        <v>141</v>
      </c>
      <c r="E83" s="1">
        <v>734753</v>
      </c>
      <c r="F83" s="1" t="s">
        <v>34</v>
      </c>
      <c r="G83" s="1" t="s">
        <v>43</v>
      </c>
      <c r="H83" s="1" t="e" vm="3">
        <v>#VALUE!</v>
      </c>
      <c r="I83" s="1" t="s">
        <v>45</v>
      </c>
      <c r="J83" s="1" t="s">
        <v>34</v>
      </c>
      <c r="K83" s="1">
        <v>14</v>
      </c>
      <c r="L83" s="8">
        <f>PI()*(Tabella2[[#This Row],[Diameter (mm)]]/2)^2</f>
        <v>153.93804002589985</v>
      </c>
      <c r="M83" s="8">
        <f>(PI()*Tabella2[[#This Row],[Diameter (mm)]]^4)/32</f>
        <v>3771.4819806345467</v>
      </c>
      <c r="N83" s="1" t="s">
        <v>35</v>
      </c>
      <c r="O83" s="1" t="s">
        <v>35</v>
      </c>
      <c r="P83" s="1" t="s">
        <v>35</v>
      </c>
      <c r="Q83" s="1" t="s">
        <v>35</v>
      </c>
      <c r="R83" s="1">
        <v>0.1</v>
      </c>
      <c r="S8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3" s="1" t="s">
        <v>35</v>
      </c>
      <c r="U8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3" s="1" t="s">
        <v>35</v>
      </c>
      <c r="W83" s="7">
        <f>IF(ISNUMBER(Tabella2[[#This Row],[Amplitute SHEAR stress  (MPa)]]), (1+Tabella2[[#This Row],[Load ratio (TORSIONAL)]])*Tabella2[[#This Row],[Amplitute SHEAR stress  (MPa)]]/(1-Tabella2[[#This Row],[Load ratio (TORSIONAL)]]), "Null")</f>
        <v>330</v>
      </c>
      <c r="X83" s="1">
        <v>270</v>
      </c>
      <c r="Y83" s="7" t="str">
        <f>Tabella2[[#This Row],[Mean RADIAL stress  (MPa)]]</f>
        <v>Null</v>
      </c>
      <c r="Z83" s="7" t="str">
        <f>Tabella2[[#This Row],[Amplitute RADIAL stress  (MPa)]]</f>
        <v>Null</v>
      </c>
      <c r="AA8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177798.43622991437</v>
      </c>
      <c r="AF8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145471.44782447538</v>
      </c>
      <c r="AG83" s="1">
        <f>IF(
   AND(ISNUMBER(Tabella2[[#This Row],[Mean TORQUE (Nmm)]]), ISNUMBER(Tabella2[[#This Row],[Amplitude TORQUE (Nmm)]])),
   Tabella2[[#This Row],[Mean TORQUE (Nmm)]]+Tabella2[[#This Row],[Amplitude TORQUE (Nmm)]],
   "Null"
)</f>
        <v>323269.88405438978</v>
      </c>
      <c r="AH8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  <c r="AI8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4" spans="1:35" x14ac:dyDescent="0.25">
      <c r="A84" s="1" t="s">
        <v>50</v>
      </c>
      <c r="B84" s="1">
        <v>2022</v>
      </c>
      <c r="C84" s="1" t="s">
        <v>92</v>
      </c>
      <c r="D84" s="1" t="s">
        <v>142</v>
      </c>
      <c r="E84" s="1">
        <v>1246068</v>
      </c>
      <c r="F84" s="1" t="s">
        <v>34</v>
      </c>
      <c r="G84" s="1" t="s">
        <v>43</v>
      </c>
      <c r="H84" s="1" t="e" vm="3">
        <v>#VALUE!</v>
      </c>
      <c r="I84" s="1" t="s">
        <v>45</v>
      </c>
      <c r="J84" s="1" t="s">
        <v>34</v>
      </c>
      <c r="K84" s="1">
        <v>14</v>
      </c>
      <c r="L84" s="8">
        <f>PI()*(Tabella2[[#This Row],[Diameter (mm)]]/2)^2</f>
        <v>153.93804002589985</v>
      </c>
      <c r="M84" s="8">
        <f>(PI()*Tabella2[[#This Row],[Diameter (mm)]]^4)/32</f>
        <v>3771.4819806345467</v>
      </c>
      <c r="N84" s="1" t="s">
        <v>35</v>
      </c>
      <c r="O84" s="1" t="s">
        <v>35</v>
      </c>
      <c r="P84" s="1" t="s">
        <v>35</v>
      </c>
      <c r="Q84" s="1" t="s">
        <v>35</v>
      </c>
      <c r="R84" s="1">
        <v>0.1</v>
      </c>
      <c r="S8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4" s="1" t="s">
        <v>35</v>
      </c>
      <c r="U8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4" s="1" t="s">
        <v>35</v>
      </c>
      <c r="W84" s="7">
        <f>IF(ISNUMBER(Tabella2[[#This Row],[Amplitute SHEAR stress  (MPa)]]), (1+Tabella2[[#This Row],[Load ratio (TORSIONAL)]])*Tabella2[[#This Row],[Amplitute SHEAR stress  (MPa)]]/(1-Tabella2[[#This Row],[Load ratio (TORSIONAL)]]), "Null")</f>
        <v>330</v>
      </c>
      <c r="X84" s="1">
        <v>270</v>
      </c>
      <c r="Y84" s="7" t="str">
        <f>Tabella2[[#This Row],[Mean RADIAL stress  (MPa)]]</f>
        <v>Null</v>
      </c>
      <c r="Z84" s="7" t="str">
        <f>Tabella2[[#This Row],[Amplitute RADIAL stress  (MPa)]]</f>
        <v>Null</v>
      </c>
      <c r="AA8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177798.43622991437</v>
      </c>
      <c r="AF8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145471.44782447538</v>
      </c>
      <c r="AG84" s="1">
        <f>IF(
   AND(ISNUMBER(Tabella2[[#This Row],[Mean TORQUE (Nmm)]]), ISNUMBER(Tabella2[[#This Row],[Amplitude TORQUE (Nmm)]])),
   Tabella2[[#This Row],[Mean TORQUE (Nmm)]]+Tabella2[[#This Row],[Amplitude TORQUE (Nmm)]],
   "Null"
)</f>
        <v>323269.88405438978</v>
      </c>
      <c r="AH8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  <c r="AI8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5" spans="1:35" x14ac:dyDescent="0.25">
      <c r="A85" s="1" t="s">
        <v>50</v>
      </c>
      <c r="B85" s="1">
        <v>2022</v>
      </c>
      <c r="C85" s="1" t="s">
        <v>92</v>
      </c>
      <c r="D85" s="1" t="s">
        <v>143</v>
      </c>
      <c r="E85" s="1">
        <v>183404</v>
      </c>
      <c r="F85" s="1" t="s">
        <v>34</v>
      </c>
      <c r="G85" s="1" t="s">
        <v>43</v>
      </c>
      <c r="H85" s="1" t="e" vm="3">
        <v>#VALUE!</v>
      </c>
      <c r="I85" s="1" t="s">
        <v>45</v>
      </c>
      <c r="J85" s="1" t="s">
        <v>34</v>
      </c>
      <c r="K85" s="1">
        <v>14</v>
      </c>
      <c r="L85" s="8">
        <f>PI()*(Tabella2[[#This Row],[Diameter (mm)]]/2)^2</f>
        <v>153.93804002589985</v>
      </c>
      <c r="M85" s="8">
        <f>(PI()*Tabella2[[#This Row],[Diameter (mm)]]^4)/32</f>
        <v>3771.4819806345467</v>
      </c>
      <c r="N85" s="1" t="s">
        <v>35</v>
      </c>
      <c r="O85" s="1" t="s">
        <v>35</v>
      </c>
      <c r="P85" s="1" t="s">
        <v>35</v>
      </c>
      <c r="Q85" s="1" t="s">
        <v>35</v>
      </c>
      <c r="R85" s="1">
        <v>0.1</v>
      </c>
      <c r="S8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5" s="1" t="s">
        <v>35</v>
      </c>
      <c r="U8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5" s="1" t="s">
        <v>35</v>
      </c>
      <c r="W85" s="7">
        <f>IF(ISNUMBER(Tabella2[[#This Row],[Amplitute SHEAR stress  (MPa)]]), (1+Tabella2[[#This Row],[Load ratio (TORSIONAL)]])*Tabella2[[#This Row],[Amplitute SHEAR stress  (MPa)]]/(1-Tabella2[[#This Row],[Load ratio (TORSIONAL)]]), "Null")</f>
        <v>366.66666666666669</v>
      </c>
      <c r="X85" s="1">
        <v>300</v>
      </c>
      <c r="Y85" s="7" t="str">
        <f>Tabella2[[#This Row],[Mean RADIAL stress  (MPa)]]</f>
        <v>Null</v>
      </c>
      <c r="Z85" s="7" t="str">
        <f>Tabella2[[#This Row],[Amplitute RADIAL stress  (MPa)]]</f>
        <v>Null</v>
      </c>
      <c r="AA8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197553.81803323817</v>
      </c>
      <c r="AF8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161634.94202719486</v>
      </c>
      <c r="AG85" s="1">
        <f>IF(
   AND(ISNUMBER(Tabella2[[#This Row],[Mean TORQUE (Nmm)]]), ISNUMBER(Tabella2[[#This Row],[Amplitude TORQUE (Nmm)]])),
   Tabella2[[#This Row],[Mean TORQUE (Nmm)]]+Tabella2[[#This Row],[Amplitude TORQUE (Nmm)]],
   "Null"
)</f>
        <v>359188.76006043307</v>
      </c>
      <c r="AH8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8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6" spans="1:35" x14ac:dyDescent="0.25">
      <c r="A86" s="1" t="s">
        <v>50</v>
      </c>
      <c r="B86" s="1">
        <v>2022</v>
      </c>
      <c r="C86" s="1" t="s">
        <v>92</v>
      </c>
      <c r="D86" s="1" t="s">
        <v>144</v>
      </c>
      <c r="E86" s="1">
        <v>1540572</v>
      </c>
      <c r="F86" s="1" t="s">
        <v>34</v>
      </c>
      <c r="G86" s="1" t="s">
        <v>43</v>
      </c>
      <c r="H86" s="1" t="e" vm="4">
        <v>#VALUE!</v>
      </c>
      <c r="I86" s="1" t="s">
        <v>45</v>
      </c>
      <c r="J86" s="1" t="s">
        <v>64</v>
      </c>
      <c r="K86" s="1">
        <v>22.5</v>
      </c>
      <c r="L86" s="8">
        <f>PI()*(Tabella2[[#This Row],[Diameter (mm)]]/2)^2</f>
        <v>397.60782021995817</v>
      </c>
      <c r="M86" s="8">
        <f>(PI()*Tabella2[[#This Row],[Diameter (mm)]]^4)/32</f>
        <v>25161.119873294228</v>
      </c>
      <c r="N86" s="1" t="s">
        <v>35</v>
      </c>
      <c r="O86" s="1" t="s">
        <v>35</v>
      </c>
      <c r="P86" s="1" t="s">
        <v>35</v>
      </c>
      <c r="Q86" s="1" t="s">
        <v>35</v>
      </c>
      <c r="R86" s="1">
        <v>-1</v>
      </c>
      <c r="S8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6" s="1" t="s">
        <v>35</v>
      </c>
      <c r="U8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6" s="1" t="s">
        <v>35</v>
      </c>
      <c r="W8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6" s="1">
        <v>225</v>
      </c>
      <c r="Y86" s="7" t="str">
        <f>Tabella2[[#This Row],[Mean RADIAL stress  (MPa)]]</f>
        <v>Null</v>
      </c>
      <c r="Z86" s="7" t="str">
        <f>Tabella2[[#This Row],[Amplitute RADIAL stress  (MPa)]]</f>
        <v>Null</v>
      </c>
      <c r="AA8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503222.39746588463</v>
      </c>
      <c r="AG86" s="1">
        <f>IF(
   AND(ISNUMBER(Tabella2[[#This Row],[Mean TORQUE (Nmm)]]), ISNUMBER(Tabella2[[#This Row],[Amplitude TORQUE (Nmm)]])),
   Tabella2[[#This Row],[Mean TORQUE (Nmm)]]+Tabella2[[#This Row],[Amplitude TORQUE (Nmm)]],
   "Null"
)</f>
        <v>503222.39746588463</v>
      </c>
      <c r="AH8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389.7114317029974</v>
      </c>
      <c r="AI8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7" spans="1:35" x14ac:dyDescent="0.25">
      <c r="A87" s="1" t="s">
        <v>50</v>
      </c>
      <c r="B87" s="1">
        <v>2022</v>
      </c>
      <c r="C87" s="1" t="s">
        <v>92</v>
      </c>
      <c r="D87" s="1" t="s">
        <v>145</v>
      </c>
      <c r="E87" s="1">
        <v>1347924</v>
      </c>
      <c r="F87" s="1" t="s">
        <v>34</v>
      </c>
      <c r="G87" s="1" t="s">
        <v>43</v>
      </c>
      <c r="H87" s="1" t="e" vm="4">
        <v>#VALUE!</v>
      </c>
      <c r="I87" s="1" t="s">
        <v>45</v>
      </c>
      <c r="J87" s="1" t="s">
        <v>64</v>
      </c>
      <c r="K87" s="1">
        <v>22.5</v>
      </c>
      <c r="L87" s="8">
        <f>PI()*(Tabella2[[#This Row],[Diameter (mm)]]/2)^2</f>
        <v>397.60782021995817</v>
      </c>
      <c r="M87" s="8">
        <f>(PI()*Tabella2[[#This Row],[Diameter (mm)]]^4)/32</f>
        <v>25161.119873294228</v>
      </c>
      <c r="N87" s="1" t="s">
        <v>35</v>
      </c>
      <c r="O87" s="1" t="s">
        <v>35</v>
      </c>
      <c r="P87" s="1" t="s">
        <v>35</v>
      </c>
      <c r="Q87" s="1" t="s">
        <v>35</v>
      </c>
      <c r="R87" s="1">
        <v>-1</v>
      </c>
      <c r="S8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7" s="1" t="s">
        <v>35</v>
      </c>
      <c r="U8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7" s="1" t="s">
        <v>35</v>
      </c>
      <c r="W8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7" s="1">
        <v>225</v>
      </c>
      <c r="Y87" s="7" t="str">
        <f>Tabella2[[#This Row],[Mean RADIAL stress  (MPa)]]</f>
        <v>Null</v>
      </c>
      <c r="Z87" s="7" t="str">
        <f>Tabella2[[#This Row],[Amplitute RADIAL stress  (MPa)]]</f>
        <v>Null</v>
      </c>
      <c r="AA8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503222.39746588463</v>
      </c>
      <c r="AG87" s="1">
        <f>IF(
   AND(ISNUMBER(Tabella2[[#This Row],[Mean TORQUE (Nmm)]]), ISNUMBER(Tabella2[[#This Row],[Amplitude TORQUE (Nmm)]])),
   Tabella2[[#This Row],[Mean TORQUE (Nmm)]]+Tabella2[[#This Row],[Amplitude TORQUE (Nmm)]],
   "Null"
)</f>
        <v>503222.39746588463</v>
      </c>
      <c r="AH8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389.7114317029974</v>
      </c>
      <c r="AI8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8" spans="1:35" x14ac:dyDescent="0.25">
      <c r="A88" s="1" t="s">
        <v>50</v>
      </c>
      <c r="B88" s="1">
        <v>2022</v>
      </c>
      <c r="C88" s="1" t="s">
        <v>92</v>
      </c>
      <c r="D88" s="1" t="s">
        <v>146</v>
      </c>
      <c r="E88" s="1">
        <v>1313298</v>
      </c>
      <c r="F88" s="1" t="s">
        <v>34</v>
      </c>
      <c r="G88" s="1" t="s">
        <v>43</v>
      </c>
      <c r="H88" s="1" t="e" vm="4">
        <v>#VALUE!</v>
      </c>
      <c r="I88" s="1" t="s">
        <v>45</v>
      </c>
      <c r="J88" s="1" t="s">
        <v>64</v>
      </c>
      <c r="K88" s="1">
        <v>22.5</v>
      </c>
      <c r="L88" s="8">
        <f>PI()*(Tabella2[[#This Row],[Diameter (mm)]]/2)^2</f>
        <v>397.60782021995817</v>
      </c>
      <c r="M88" s="8">
        <f>(PI()*Tabella2[[#This Row],[Diameter (mm)]]^4)/32</f>
        <v>25161.119873294228</v>
      </c>
      <c r="N88" s="1" t="s">
        <v>35</v>
      </c>
      <c r="O88" s="1" t="s">
        <v>35</v>
      </c>
      <c r="P88" s="1" t="s">
        <v>35</v>
      </c>
      <c r="Q88" s="1" t="s">
        <v>35</v>
      </c>
      <c r="R88" s="1">
        <v>-1</v>
      </c>
      <c r="S8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8" s="1" t="s">
        <v>35</v>
      </c>
      <c r="U8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8" s="1" t="s">
        <v>35</v>
      </c>
      <c r="W8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8" s="1">
        <v>250</v>
      </c>
      <c r="Y88" s="7" t="str">
        <f>Tabella2[[#This Row],[Mean RADIAL stress  (MPa)]]</f>
        <v>Null</v>
      </c>
      <c r="Z88" s="7" t="str">
        <f>Tabella2[[#This Row],[Amplitute RADIAL stress  (MPa)]]</f>
        <v>Null</v>
      </c>
      <c r="AA8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559135.99718431616</v>
      </c>
      <c r="AG88" s="1">
        <f>IF(
   AND(ISNUMBER(Tabella2[[#This Row],[Mean TORQUE (Nmm)]]), ISNUMBER(Tabella2[[#This Row],[Amplitude TORQUE (Nmm)]])),
   Tabella2[[#This Row],[Mean TORQUE (Nmm)]]+Tabella2[[#This Row],[Amplitude TORQUE (Nmm)]],
   "Null"
)</f>
        <v>559135.99718431616</v>
      </c>
      <c r="AH8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  <c r="AI8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9" spans="1:35" x14ac:dyDescent="0.25">
      <c r="A89" s="1" t="s">
        <v>50</v>
      </c>
      <c r="B89" s="1">
        <v>2022</v>
      </c>
      <c r="C89" s="1" t="s">
        <v>92</v>
      </c>
      <c r="D89" s="1" t="s">
        <v>147</v>
      </c>
      <c r="E89" s="1">
        <v>1166925</v>
      </c>
      <c r="F89" s="1" t="s">
        <v>34</v>
      </c>
      <c r="G89" s="1" t="s">
        <v>43</v>
      </c>
      <c r="H89" s="1" t="e" vm="4">
        <v>#VALUE!</v>
      </c>
      <c r="I89" s="1" t="s">
        <v>45</v>
      </c>
      <c r="J89" s="1" t="s">
        <v>64</v>
      </c>
      <c r="K89" s="1">
        <v>22.5</v>
      </c>
      <c r="L89" s="8">
        <f>PI()*(Tabella2[[#This Row],[Diameter (mm)]]/2)^2</f>
        <v>397.60782021995817</v>
      </c>
      <c r="M89" s="8">
        <f>(PI()*Tabella2[[#This Row],[Diameter (mm)]]^4)/32</f>
        <v>25161.119873294228</v>
      </c>
      <c r="N89" s="1" t="s">
        <v>35</v>
      </c>
      <c r="O89" s="1" t="s">
        <v>35</v>
      </c>
      <c r="P89" s="1" t="s">
        <v>35</v>
      </c>
      <c r="Q89" s="1" t="s">
        <v>35</v>
      </c>
      <c r="R89" s="1">
        <v>-1</v>
      </c>
      <c r="S8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9" s="1" t="s">
        <v>35</v>
      </c>
      <c r="U8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9" s="1" t="s">
        <v>35</v>
      </c>
      <c r="W8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9" s="1">
        <v>250</v>
      </c>
      <c r="Y89" s="7" t="str">
        <f>Tabella2[[#This Row],[Mean RADIAL stress  (MPa)]]</f>
        <v>Null</v>
      </c>
      <c r="Z89" s="7" t="str">
        <f>Tabella2[[#This Row],[Amplitute RADIAL stress  (MPa)]]</f>
        <v>Null</v>
      </c>
      <c r="AA8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559135.99718431616</v>
      </c>
      <c r="AG89" s="1">
        <f>IF(
   AND(ISNUMBER(Tabella2[[#This Row],[Mean TORQUE (Nmm)]]), ISNUMBER(Tabella2[[#This Row],[Amplitude TORQUE (Nmm)]])),
   Tabella2[[#This Row],[Mean TORQUE (Nmm)]]+Tabella2[[#This Row],[Amplitude TORQUE (Nmm)]],
   "Null"
)</f>
        <v>559135.99718431616</v>
      </c>
      <c r="AH8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  <c r="AI8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0" spans="1:35" x14ac:dyDescent="0.25">
      <c r="A90" s="1" t="s">
        <v>50</v>
      </c>
      <c r="B90" s="1">
        <v>2022</v>
      </c>
      <c r="C90" s="1" t="s">
        <v>92</v>
      </c>
      <c r="D90" s="1" t="s">
        <v>148</v>
      </c>
      <c r="E90" s="1">
        <v>3583227</v>
      </c>
      <c r="F90" s="1" t="s">
        <v>34</v>
      </c>
      <c r="G90" s="1" t="s">
        <v>43</v>
      </c>
      <c r="H90" s="1" t="e" vm="4">
        <v>#VALUE!</v>
      </c>
      <c r="I90" s="1" t="s">
        <v>45</v>
      </c>
      <c r="J90" s="1" t="s">
        <v>64</v>
      </c>
      <c r="K90" s="1">
        <v>22.5</v>
      </c>
      <c r="L90" s="8">
        <f>PI()*(Tabella2[[#This Row],[Diameter (mm)]]/2)^2</f>
        <v>397.60782021995817</v>
      </c>
      <c r="M90" s="8">
        <f>(PI()*Tabella2[[#This Row],[Diameter (mm)]]^4)/32</f>
        <v>25161.119873294228</v>
      </c>
      <c r="N90" s="1" t="s">
        <v>35</v>
      </c>
      <c r="O90" s="1" t="s">
        <v>35</v>
      </c>
      <c r="P90" s="1" t="s">
        <v>35</v>
      </c>
      <c r="Q90" s="1" t="s">
        <v>35</v>
      </c>
      <c r="R90" s="1">
        <v>-1</v>
      </c>
      <c r="S9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0" s="1" t="s">
        <v>35</v>
      </c>
      <c r="U9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0" s="1" t="s">
        <v>35</v>
      </c>
      <c r="W9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0" s="1">
        <v>175</v>
      </c>
      <c r="Y90" s="7" t="str">
        <f>Tabella2[[#This Row],[Mean RADIAL stress  (MPa)]]</f>
        <v>Null</v>
      </c>
      <c r="Z90" s="7" t="str">
        <f>Tabella2[[#This Row],[Amplitute RADIAL stress  (MPa)]]</f>
        <v>Null</v>
      </c>
      <c r="AA9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391395.19802902133</v>
      </c>
      <c r="AG90" s="1">
        <f>IF(
   AND(ISNUMBER(Tabella2[[#This Row],[Mean TORQUE (Nmm)]]), ISNUMBER(Tabella2[[#This Row],[Amplitude TORQUE (Nmm)]])),
   Tabella2[[#This Row],[Mean TORQUE (Nmm)]]+Tabella2[[#This Row],[Amplitude TORQUE (Nmm)]],
   "Null"
)</f>
        <v>391395.19802902133</v>
      </c>
      <c r="AH9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303.10889132455355</v>
      </c>
      <c r="AI9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1" spans="1:35" x14ac:dyDescent="0.25">
      <c r="A91" s="1" t="s">
        <v>50</v>
      </c>
      <c r="B91" s="1">
        <v>2022</v>
      </c>
      <c r="C91" s="1" t="s">
        <v>92</v>
      </c>
      <c r="D91" s="1" t="s">
        <v>149</v>
      </c>
      <c r="E91" s="1">
        <v>630058</v>
      </c>
      <c r="F91" s="1" t="s">
        <v>34</v>
      </c>
      <c r="G91" s="1" t="s">
        <v>43</v>
      </c>
      <c r="H91" s="1" t="e" vm="4">
        <v>#VALUE!</v>
      </c>
      <c r="I91" s="1" t="s">
        <v>45</v>
      </c>
      <c r="J91" s="1" t="s">
        <v>64</v>
      </c>
      <c r="K91" s="1">
        <v>22.5</v>
      </c>
      <c r="L91" s="8">
        <f>PI()*(Tabella2[[#This Row],[Diameter (mm)]]/2)^2</f>
        <v>397.60782021995817</v>
      </c>
      <c r="M91" s="8">
        <f>(PI()*Tabella2[[#This Row],[Diameter (mm)]]^4)/32</f>
        <v>25161.119873294228</v>
      </c>
      <c r="N91" s="1" t="s">
        <v>35</v>
      </c>
      <c r="O91" s="1" t="s">
        <v>35</v>
      </c>
      <c r="P91" s="1" t="s">
        <v>35</v>
      </c>
      <c r="Q91" s="1" t="s">
        <v>35</v>
      </c>
      <c r="R91" s="1">
        <v>-1</v>
      </c>
      <c r="S9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1" s="1" t="s">
        <v>35</v>
      </c>
      <c r="U9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1" s="1" t="s">
        <v>35</v>
      </c>
      <c r="W9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1" s="1">
        <v>300</v>
      </c>
      <c r="Y91" s="7" t="str">
        <f>Tabella2[[#This Row],[Mean RADIAL stress  (MPa)]]</f>
        <v>Null</v>
      </c>
      <c r="Z91" s="7" t="str">
        <f>Tabella2[[#This Row],[Amplitute RADIAL stress  (MPa)]]</f>
        <v>Null</v>
      </c>
      <c r="AA9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670963.19662117946</v>
      </c>
      <c r="AG91" s="1">
        <f>IF(
   AND(ISNUMBER(Tabella2[[#This Row],[Mean TORQUE (Nmm)]]), ISNUMBER(Tabella2[[#This Row],[Amplitude TORQUE (Nmm)]])),
   Tabella2[[#This Row],[Mean TORQUE (Nmm)]]+Tabella2[[#This Row],[Amplitude TORQUE (Nmm)]],
   "Null"
)</f>
        <v>670963.19662117946</v>
      </c>
      <c r="AH9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9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2" spans="1:35" x14ac:dyDescent="0.25">
      <c r="A92" s="1" t="s">
        <v>50</v>
      </c>
      <c r="B92" s="1">
        <v>2022</v>
      </c>
      <c r="C92" s="1" t="s">
        <v>92</v>
      </c>
      <c r="D92" s="1" t="s">
        <v>150</v>
      </c>
      <c r="E92" s="1">
        <v>628732</v>
      </c>
      <c r="F92" s="1" t="s">
        <v>34</v>
      </c>
      <c r="G92" s="1" t="s">
        <v>43</v>
      </c>
      <c r="H92" s="1" t="e" vm="4">
        <v>#VALUE!</v>
      </c>
      <c r="I92" s="1" t="s">
        <v>45</v>
      </c>
      <c r="J92" s="1" t="s">
        <v>64</v>
      </c>
      <c r="K92" s="1">
        <v>22.5</v>
      </c>
      <c r="L92" s="8">
        <f>PI()*(Tabella2[[#This Row],[Diameter (mm)]]/2)^2</f>
        <v>397.60782021995817</v>
      </c>
      <c r="M92" s="8">
        <f>(PI()*Tabella2[[#This Row],[Diameter (mm)]]^4)/32</f>
        <v>25161.119873294228</v>
      </c>
      <c r="N92" s="1" t="s">
        <v>35</v>
      </c>
      <c r="O92" s="1" t="s">
        <v>35</v>
      </c>
      <c r="P92" s="1" t="s">
        <v>35</v>
      </c>
      <c r="Q92" s="1" t="s">
        <v>35</v>
      </c>
      <c r="R92" s="1">
        <v>-1</v>
      </c>
      <c r="S9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2" s="1" t="s">
        <v>35</v>
      </c>
      <c r="U9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2" s="1" t="s">
        <v>35</v>
      </c>
      <c r="W9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2" s="1">
        <v>300</v>
      </c>
      <c r="Y92" s="7" t="str">
        <f>Tabella2[[#This Row],[Mean RADIAL stress  (MPa)]]</f>
        <v>Null</v>
      </c>
      <c r="Z92" s="7" t="str">
        <f>Tabella2[[#This Row],[Amplitute RADIAL stress  (MPa)]]</f>
        <v>Null</v>
      </c>
      <c r="AA9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670963.19662117946</v>
      </c>
      <c r="AG92" s="1">
        <f>IF(
   AND(ISNUMBER(Tabella2[[#This Row],[Mean TORQUE (Nmm)]]), ISNUMBER(Tabella2[[#This Row],[Amplitude TORQUE (Nmm)]])),
   Tabella2[[#This Row],[Mean TORQUE (Nmm)]]+Tabella2[[#This Row],[Amplitude TORQUE (Nmm)]],
   "Null"
)</f>
        <v>670963.19662117946</v>
      </c>
      <c r="AH9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9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3" spans="1:35" x14ac:dyDescent="0.25">
      <c r="A93" s="1" t="s">
        <v>50</v>
      </c>
      <c r="B93" s="1">
        <v>2022</v>
      </c>
      <c r="C93" s="1" t="s">
        <v>92</v>
      </c>
      <c r="D93" s="1" t="s">
        <v>151</v>
      </c>
      <c r="E93" s="1">
        <v>2797404</v>
      </c>
      <c r="F93" s="1" t="s">
        <v>34</v>
      </c>
      <c r="G93" s="1" t="s">
        <v>43</v>
      </c>
      <c r="H93" s="1" t="e" vm="4">
        <v>#VALUE!</v>
      </c>
      <c r="I93" s="1" t="s">
        <v>45</v>
      </c>
      <c r="J93" s="1" t="s">
        <v>64</v>
      </c>
      <c r="K93" s="1">
        <v>22.5</v>
      </c>
      <c r="L93" s="8">
        <f>PI()*(Tabella2[[#This Row],[Diameter (mm)]]/2)^2</f>
        <v>397.60782021995817</v>
      </c>
      <c r="M93" s="8">
        <f>(PI()*Tabella2[[#This Row],[Diameter (mm)]]^4)/32</f>
        <v>25161.119873294228</v>
      </c>
      <c r="N93" s="1" t="s">
        <v>35</v>
      </c>
      <c r="O93" s="1" t="s">
        <v>35</v>
      </c>
      <c r="P93" s="1" t="s">
        <v>35</v>
      </c>
      <c r="Q93" s="1" t="s">
        <v>35</v>
      </c>
      <c r="R93" s="1">
        <v>-1</v>
      </c>
      <c r="S9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3" s="1" t="s">
        <v>35</v>
      </c>
      <c r="U9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3" s="1" t="s">
        <v>35</v>
      </c>
      <c r="W9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3" s="1">
        <v>200</v>
      </c>
      <c r="Y93" s="7" t="str">
        <f>Tabella2[[#This Row],[Mean RADIAL stress  (MPa)]]</f>
        <v>Null</v>
      </c>
      <c r="Z93" s="7" t="str">
        <f>Tabella2[[#This Row],[Amplitute RADIAL stress  (MPa)]]</f>
        <v>Null</v>
      </c>
      <c r="AA9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447308.79774745298</v>
      </c>
      <c r="AG93" s="1">
        <f>IF(
   AND(ISNUMBER(Tabella2[[#This Row],[Mean TORQUE (Nmm)]]), ISNUMBER(Tabella2[[#This Row],[Amplitude TORQUE (Nmm)]])),
   Tabella2[[#This Row],[Mean TORQUE (Nmm)]]+Tabella2[[#This Row],[Amplitude TORQUE (Nmm)]],
   "Null"
)</f>
        <v>447308.79774745298</v>
      </c>
      <c r="AH9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346.41016151377545</v>
      </c>
      <c r="AI9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4" spans="1:35" x14ac:dyDescent="0.25">
      <c r="A94" s="1" t="s">
        <v>50</v>
      </c>
      <c r="B94" s="1">
        <v>2022</v>
      </c>
      <c r="C94" s="1" t="s">
        <v>92</v>
      </c>
      <c r="D94" s="1" t="s">
        <v>152</v>
      </c>
      <c r="E94" s="1">
        <v>5000000</v>
      </c>
      <c r="F94" s="1" t="s">
        <v>64</v>
      </c>
      <c r="G94" s="1" t="s">
        <v>43</v>
      </c>
      <c r="H94" s="1" t="e" vm="4">
        <v>#VALUE!</v>
      </c>
      <c r="I94" s="1" t="s">
        <v>45</v>
      </c>
      <c r="J94" s="1" t="s">
        <v>64</v>
      </c>
      <c r="K94" s="1">
        <v>22.5</v>
      </c>
      <c r="L94" s="8">
        <f>PI()*(Tabella2[[#This Row],[Diameter (mm)]]/2)^2</f>
        <v>397.60782021995817</v>
      </c>
      <c r="M94" s="8">
        <f>(PI()*Tabella2[[#This Row],[Diameter (mm)]]^4)/32</f>
        <v>25161.119873294228</v>
      </c>
      <c r="N94" s="1" t="s">
        <v>35</v>
      </c>
      <c r="O94" s="1" t="s">
        <v>35</v>
      </c>
      <c r="P94" s="1" t="s">
        <v>35</v>
      </c>
      <c r="Q94" s="1" t="s">
        <v>35</v>
      </c>
      <c r="R94" s="1">
        <v>-1</v>
      </c>
      <c r="S9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4" s="1" t="s">
        <v>35</v>
      </c>
      <c r="U9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4" s="1" t="s">
        <v>35</v>
      </c>
      <c r="W9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4" s="1">
        <v>175</v>
      </c>
      <c r="Y94" s="7" t="str">
        <f>Tabella2[[#This Row],[Mean RADIAL stress  (MPa)]]</f>
        <v>Null</v>
      </c>
      <c r="Z94" s="7" t="str">
        <f>Tabella2[[#This Row],[Amplitute RADIAL stress  (MPa)]]</f>
        <v>Null</v>
      </c>
      <c r="AA9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391395.19802902133</v>
      </c>
      <c r="AG94" s="1">
        <f>IF(
   AND(ISNUMBER(Tabella2[[#This Row],[Mean TORQUE (Nmm)]]), ISNUMBER(Tabella2[[#This Row],[Amplitude TORQUE (Nmm)]])),
   Tabella2[[#This Row],[Mean TORQUE (Nmm)]]+Tabella2[[#This Row],[Amplitude TORQUE (Nmm)]],
   "Null"
)</f>
        <v>391395.19802902133</v>
      </c>
      <c r="AH9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303.10889132455355</v>
      </c>
      <c r="AI9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5" spans="1:35" x14ac:dyDescent="0.25">
      <c r="A95" s="1" t="s">
        <v>156</v>
      </c>
      <c r="B95" s="1">
        <v>2014</v>
      </c>
      <c r="C95" s="1" t="s">
        <v>155</v>
      </c>
      <c r="D95" s="1" t="s">
        <v>158</v>
      </c>
      <c r="E95" s="8">
        <v>1000000</v>
      </c>
      <c r="F95" s="1" t="s">
        <v>64</v>
      </c>
      <c r="G95" s="1" t="s">
        <v>43</v>
      </c>
      <c r="H95" s="1" t="e" vm="5">
        <v>#VALUE!</v>
      </c>
      <c r="I95" s="1" t="s">
        <v>45</v>
      </c>
      <c r="J95" s="1" t="s">
        <v>34</v>
      </c>
      <c r="K95" s="1">
        <v>6.3</v>
      </c>
      <c r="L95" s="8">
        <f>PI()*(Tabella2[[#This Row],[Diameter (mm)]]/2)^2</f>
        <v>31.17245310524472</v>
      </c>
      <c r="M95" s="8">
        <f>(PI()*Tabella2[[#This Row],[Diameter (mm)]]^4)/32</f>
        <v>154.65433296839535</v>
      </c>
      <c r="N95" s="1" t="s">
        <v>35</v>
      </c>
      <c r="O95" s="1">
        <v>0</v>
      </c>
      <c r="P95" s="1" t="s">
        <v>35</v>
      </c>
      <c r="Q95" s="1">
        <v>-1</v>
      </c>
      <c r="R95" s="1">
        <v>-1</v>
      </c>
      <c r="S9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5" s="1" t="s">
        <v>35</v>
      </c>
      <c r="U9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5" s="7">
        <v>425</v>
      </c>
      <c r="W9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5" s="7">
        <v>245.4</v>
      </c>
      <c r="Y95" s="7" t="str">
        <f>Tabella2[[#This Row],[Mean RADIAL stress  (MPa)]]</f>
        <v>Null</v>
      </c>
      <c r="Z95" s="7" t="str">
        <f>Tabella2[[#This Row],[Amplitute RADIAL stress  (MPa)]]</f>
        <v>Null</v>
      </c>
      <c r="AA9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5" s="8">
        <f>IF( AND(ISNUMBER(Tabella2[[#This Row],[Mean AXIAL stress  (MPa)]]), ISNUMBER(Tabella2[[#This Row],[Area (mm^2)]])), Tabella2[[#This Row],[Mean AXIAL stress  (MPa)]]*Tabella2[[#This Row],[Area (mm^2)]], "Null")</f>
        <v>0</v>
      </c>
      <c r="AC95" s="8">
        <f>IF( AND(ISNUMBER(Tabella2[[#This Row],[Amplitute AXIAL stress  (MPa)]]), ISNUMBER(Tabella2[[#This Row],[Area (mm^2)]])), Tabella2[[#This Row],[Amplitute AXIAL stress  (MPa)]]*Tabella2[[#This Row],[Area (mm^2)]],"Null")</f>
        <v>13248.292569729007</v>
      </c>
      <c r="AD95" s="8">
        <f>IF( AND(ISNUMBER(Tabella2[[#This Row],[Amplitude AXIAL force (N)]]), ISNUMBER(Tabella2[[#This Row],[Mean AXIAL force (N)]])), Tabella2[[#This Row],[Amplitude AXIAL force (N)]]+Tabella2[[#This Row],[Mean AXIAL force (N)]],"Null")</f>
        <v>13248.292569729007</v>
      </c>
      <c r="AE9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12048.30898744261</v>
      </c>
      <c r="AG95" s="1">
        <f>IF(
   AND(ISNUMBER(Tabella2[[#This Row],[Mean TORQUE (Nmm)]]), ISNUMBER(Tabella2[[#This Row],[Amplitude TORQUE (Nmm)]])),
   Tabella2[[#This Row],[Mean TORQUE (Nmm)]]+Tabella2[[#This Row],[Amplitude TORQUE (Nmm)]],
   "Null"
)</f>
        <v>12048.30898744261</v>
      </c>
      <c r="AH9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601.07277429609132</v>
      </c>
      <c r="AI9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0.5774117647058824</v>
      </c>
    </row>
    <row r="96" spans="1:35" x14ac:dyDescent="0.25">
      <c r="A96" s="1" t="s">
        <v>156</v>
      </c>
      <c r="B96" s="1">
        <v>2014</v>
      </c>
      <c r="C96" s="1" t="s">
        <v>155</v>
      </c>
      <c r="D96" s="1" t="s">
        <v>159</v>
      </c>
      <c r="E96" s="8">
        <v>564088</v>
      </c>
      <c r="F96" s="1" t="s">
        <v>34</v>
      </c>
      <c r="G96" s="1" t="s">
        <v>43</v>
      </c>
      <c r="H96" s="1" t="e" vm="5">
        <v>#VALUE!</v>
      </c>
      <c r="I96" s="1" t="s">
        <v>45</v>
      </c>
      <c r="J96" s="1" t="s">
        <v>34</v>
      </c>
      <c r="K96" s="1">
        <v>6.3</v>
      </c>
      <c r="L96" s="8">
        <f>PI()*(Tabella2[[#This Row],[Diameter (mm)]]/2)^2</f>
        <v>31.17245310524472</v>
      </c>
      <c r="M96" s="8">
        <f>(PI()*Tabella2[[#This Row],[Diameter (mm)]]^4)/32</f>
        <v>154.65433296839535</v>
      </c>
      <c r="N96" s="1" t="s">
        <v>35</v>
      </c>
      <c r="O96" s="1">
        <v>0</v>
      </c>
      <c r="P96" s="1" t="s">
        <v>35</v>
      </c>
      <c r="Q96" s="1">
        <v>-1</v>
      </c>
      <c r="R96" s="1">
        <v>-1</v>
      </c>
      <c r="S9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6" s="1" t="s">
        <v>35</v>
      </c>
      <c r="U9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6" s="7">
        <v>435</v>
      </c>
      <c r="W9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6" s="7">
        <v>251.1</v>
      </c>
      <c r="Y96" s="7" t="str">
        <f>Tabella2[[#This Row],[Mean RADIAL stress  (MPa)]]</f>
        <v>Null</v>
      </c>
      <c r="Z96" s="7" t="str">
        <f>Tabella2[[#This Row],[Amplitute RADIAL stress  (MPa)]]</f>
        <v>Null</v>
      </c>
      <c r="AA9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6" s="8">
        <f>IF( AND(ISNUMBER(Tabella2[[#This Row],[Mean AXIAL stress  (MPa)]]), ISNUMBER(Tabella2[[#This Row],[Area (mm^2)]])), Tabella2[[#This Row],[Mean AXIAL stress  (MPa)]]*Tabella2[[#This Row],[Area (mm^2)]], "Null")</f>
        <v>0</v>
      </c>
      <c r="AC96" s="8">
        <f>IF( AND(ISNUMBER(Tabella2[[#This Row],[Amplitute AXIAL stress  (MPa)]]), ISNUMBER(Tabella2[[#This Row],[Area (mm^2)]])), Tabella2[[#This Row],[Amplitute AXIAL stress  (MPa)]]*Tabella2[[#This Row],[Area (mm^2)]],"Null")</f>
        <v>13560.017100781453</v>
      </c>
      <c r="AD96" s="8">
        <f>IF( AND(ISNUMBER(Tabella2[[#This Row],[Amplitude AXIAL force (N)]]), ISNUMBER(Tabella2[[#This Row],[Mean AXIAL force (N)]])), Tabella2[[#This Row],[Amplitude AXIAL force (N)]]+Tabella2[[#This Row],[Mean AXIAL force (N)]],"Null")</f>
        <v>13560.017100781453</v>
      </c>
      <c r="AE9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12328.159685194943</v>
      </c>
      <c r="AG96" s="1">
        <f>IF(
   AND(ISNUMBER(Tabella2[[#This Row],[Mean TORQUE (Nmm)]]), ISNUMBER(Tabella2[[#This Row],[Amplitude TORQUE (Nmm)]])),
   Tabella2[[#This Row],[Mean TORQUE (Nmm)]]+Tabella2[[#This Row],[Amplitude TORQUE (Nmm)]],
   "Null"
)</f>
        <v>12328.159685194943</v>
      </c>
      <c r="AH9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615.12488975816939</v>
      </c>
      <c r="AI9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0.5772413793103448</v>
      </c>
    </row>
    <row r="97" spans="1:35" x14ac:dyDescent="0.25">
      <c r="A97" s="1" t="s">
        <v>156</v>
      </c>
      <c r="B97" s="1">
        <v>2014</v>
      </c>
      <c r="C97" s="1" t="s">
        <v>155</v>
      </c>
      <c r="D97" s="1" t="s">
        <v>160</v>
      </c>
      <c r="E97" s="8">
        <v>311401</v>
      </c>
      <c r="F97" s="1" t="s">
        <v>34</v>
      </c>
      <c r="G97" s="1" t="s">
        <v>43</v>
      </c>
      <c r="H97" s="1" t="e" vm="5">
        <v>#VALUE!</v>
      </c>
      <c r="I97" s="1" t="s">
        <v>45</v>
      </c>
      <c r="J97" s="1" t="s">
        <v>34</v>
      </c>
      <c r="K97" s="1">
        <v>6.3</v>
      </c>
      <c r="L97" s="8">
        <f>PI()*(Tabella2[[#This Row],[Diameter (mm)]]/2)^2</f>
        <v>31.17245310524472</v>
      </c>
      <c r="M97" s="8">
        <f>(PI()*Tabella2[[#This Row],[Diameter (mm)]]^4)/32</f>
        <v>154.65433296839535</v>
      </c>
      <c r="N97" s="1" t="s">
        <v>35</v>
      </c>
      <c r="O97" s="1">
        <v>0</v>
      </c>
      <c r="P97" s="1" t="s">
        <v>35</v>
      </c>
      <c r="Q97" s="1">
        <v>-1</v>
      </c>
      <c r="R97" s="1">
        <v>-1</v>
      </c>
      <c r="S9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7" s="1" t="s">
        <v>35</v>
      </c>
      <c r="U9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7" s="7">
        <v>440</v>
      </c>
      <c r="W9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7" s="7">
        <v>254</v>
      </c>
      <c r="Y97" s="7" t="str">
        <f>Tabella2[[#This Row],[Mean RADIAL stress  (MPa)]]</f>
        <v>Null</v>
      </c>
      <c r="Z97" s="7" t="str">
        <f>Tabella2[[#This Row],[Amplitute RADIAL stress  (MPa)]]</f>
        <v>Null</v>
      </c>
      <c r="AA9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7" s="8">
        <f>IF( AND(ISNUMBER(Tabella2[[#This Row],[Mean AXIAL stress  (MPa)]]), ISNUMBER(Tabella2[[#This Row],[Area (mm^2)]])), Tabella2[[#This Row],[Mean AXIAL stress  (MPa)]]*Tabella2[[#This Row],[Area (mm^2)]], "Null")</f>
        <v>0</v>
      </c>
      <c r="AC97" s="8">
        <f>IF( AND(ISNUMBER(Tabella2[[#This Row],[Amplitute AXIAL stress  (MPa)]]), ISNUMBER(Tabella2[[#This Row],[Area (mm^2)]])), Tabella2[[#This Row],[Amplitute AXIAL stress  (MPa)]]*Tabella2[[#This Row],[Area (mm^2)]],"Null")</f>
        <v>13715.879366307678</v>
      </c>
      <c r="AD97" s="8">
        <f>IF( AND(ISNUMBER(Tabella2[[#This Row],[Amplitude AXIAL force (N)]]), ISNUMBER(Tabella2[[#This Row],[Mean AXIAL force (N)]])), Tabella2[[#This Row],[Amplitude AXIAL force (N)]]+Tabella2[[#This Row],[Mean AXIAL force (N)]],"Null")</f>
        <v>13715.879366307678</v>
      </c>
      <c r="AE9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12470.539864753149</v>
      </c>
      <c r="AG97" s="1">
        <f>IF(
   AND(ISNUMBER(Tabella2[[#This Row],[Mean TORQUE (Nmm)]]), ISNUMBER(Tabella2[[#This Row],[Amplitude TORQUE (Nmm)]])),
   Tabella2[[#This Row],[Mean TORQUE (Nmm)]]+Tabella2[[#This Row],[Amplitude TORQUE (Nmm)]],
   "Null"
)</f>
        <v>12470.539864753149</v>
      </c>
      <c r="AH9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622.21218245868511</v>
      </c>
      <c r="AI9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0.57727272727272727</v>
      </c>
    </row>
    <row r="98" spans="1:35" ht="17.45" customHeight="1" x14ac:dyDescent="0.25">
      <c r="A98" s="1" t="s">
        <v>156</v>
      </c>
      <c r="B98" s="1">
        <v>2014</v>
      </c>
      <c r="C98" s="1" t="s">
        <v>155</v>
      </c>
      <c r="D98" s="1" t="s">
        <v>161</v>
      </c>
      <c r="E98" s="8">
        <v>239600</v>
      </c>
      <c r="F98" s="1" t="s">
        <v>34</v>
      </c>
      <c r="G98" s="1" t="s">
        <v>43</v>
      </c>
      <c r="H98" s="1" t="e" vm="5">
        <v>#VALUE!</v>
      </c>
      <c r="I98" s="1" t="s">
        <v>45</v>
      </c>
      <c r="J98" s="1" t="s">
        <v>34</v>
      </c>
      <c r="K98" s="1">
        <v>6.3</v>
      </c>
      <c r="L98" s="8">
        <f>PI()*(Tabella2[[#This Row],[Diameter (mm)]]/2)^2</f>
        <v>31.17245310524472</v>
      </c>
      <c r="M98" s="8">
        <f>(PI()*Tabella2[[#This Row],[Diameter (mm)]]^4)/32</f>
        <v>154.65433296839535</v>
      </c>
      <c r="N98" s="1" t="s">
        <v>35</v>
      </c>
      <c r="O98" s="1">
        <v>0</v>
      </c>
      <c r="P98" s="1" t="s">
        <v>35</v>
      </c>
      <c r="Q98" s="1">
        <v>-1</v>
      </c>
      <c r="R98" s="1">
        <v>-1</v>
      </c>
      <c r="S9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8" s="1" t="s">
        <v>35</v>
      </c>
      <c r="U9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8" s="7">
        <v>445</v>
      </c>
      <c r="W9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8" s="7">
        <v>256.89999999999998</v>
      </c>
      <c r="Y98" s="7" t="str">
        <f>Tabella2[[#This Row],[Mean RADIAL stress  (MPa)]]</f>
        <v>Null</v>
      </c>
      <c r="Z98" s="7" t="str">
        <f>Tabella2[[#This Row],[Amplitute RADIAL stress  (MPa)]]</f>
        <v>Null</v>
      </c>
      <c r="AA9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8" s="8">
        <f>IF( AND(ISNUMBER(Tabella2[[#This Row],[Mean AXIAL stress  (MPa)]]), ISNUMBER(Tabella2[[#This Row],[Area (mm^2)]])), Tabella2[[#This Row],[Mean AXIAL stress  (MPa)]]*Tabella2[[#This Row],[Area (mm^2)]], "Null")</f>
        <v>0</v>
      </c>
      <c r="AC98" s="8">
        <f>IF( AND(ISNUMBER(Tabella2[[#This Row],[Amplitute AXIAL stress  (MPa)]]), ISNUMBER(Tabella2[[#This Row],[Area (mm^2)]])), Tabella2[[#This Row],[Amplitute AXIAL stress  (MPa)]]*Tabella2[[#This Row],[Area (mm^2)]],"Null")</f>
        <v>13871.7416318339</v>
      </c>
      <c r="AD98" s="8">
        <f>IF( AND(ISNUMBER(Tabella2[[#This Row],[Amplitude AXIAL force (N)]]), ISNUMBER(Tabella2[[#This Row],[Mean AXIAL force (N)]])), Tabella2[[#This Row],[Amplitude AXIAL force (N)]]+Tabella2[[#This Row],[Mean AXIAL force (N)]],"Null")</f>
        <v>13871.7416318339</v>
      </c>
      <c r="AE9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12612.920044311353</v>
      </c>
      <c r="AG98" s="1">
        <f>IF(
   AND(ISNUMBER(Tabella2[[#This Row],[Mean TORQUE (Nmm)]]), ISNUMBER(Tabella2[[#This Row],[Amplitude TORQUE (Nmm)]])),
   Tabella2[[#This Row],[Mean TORQUE (Nmm)]]+Tabella2[[#This Row],[Amplitude TORQUE (Nmm)]],
   "Null"
)</f>
        <v>12612.920044311353</v>
      </c>
      <c r="AH9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629.29947560759967</v>
      </c>
      <c r="AI9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0.57730337078651683</v>
      </c>
    </row>
    <row r="99" spans="1:35" x14ac:dyDescent="0.25">
      <c r="A99" s="1" t="s">
        <v>156</v>
      </c>
      <c r="B99" s="1">
        <v>2014</v>
      </c>
      <c r="C99" s="1" t="s">
        <v>155</v>
      </c>
      <c r="D99" s="1" t="s">
        <v>162</v>
      </c>
      <c r="E99" s="8">
        <v>109087</v>
      </c>
      <c r="F99" s="1" t="s">
        <v>34</v>
      </c>
      <c r="G99" s="1" t="s">
        <v>43</v>
      </c>
      <c r="H99" s="1" t="e" vm="5">
        <v>#VALUE!</v>
      </c>
      <c r="I99" s="1" t="s">
        <v>45</v>
      </c>
      <c r="J99" s="1" t="s">
        <v>34</v>
      </c>
      <c r="K99" s="1">
        <v>6.3</v>
      </c>
      <c r="L99" s="8">
        <f>PI()*(Tabella2[[#This Row],[Diameter (mm)]]/2)^2</f>
        <v>31.17245310524472</v>
      </c>
      <c r="M99" s="8">
        <f>(PI()*Tabella2[[#This Row],[Diameter (mm)]]^4)/32</f>
        <v>154.65433296839535</v>
      </c>
      <c r="N99" s="1" t="s">
        <v>35</v>
      </c>
      <c r="O99" s="1">
        <v>0</v>
      </c>
      <c r="P99" s="1" t="s">
        <v>35</v>
      </c>
      <c r="Q99" s="1">
        <v>-1</v>
      </c>
      <c r="R99" s="1">
        <v>-1</v>
      </c>
      <c r="S9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9" s="1" t="s">
        <v>35</v>
      </c>
      <c r="U9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9" s="7">
        <v>465</v>
      </c>
      <c r="W9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9" s="7">
        <v>268.5</v>
      </c>
      <c r="Y99" s="7" t="str">
        <f>Tabella2[[#This Row],[Mean RADIAL stress  (MPa)]]</f>
        <v>Null</v>
      </c>
      <c r="Z99" s="7" t="str">
        <f>Tabella2[[#This Row],[Amplitute RADIAL stress  (MPa)]]</f>
        <v>Null</v>
      </c>
      <c r="AA9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9" s="8">
        <f>IF( AND(ISNUMBER(Tabella2[[#This Row],[Mean AXIAL stress  (MPa)]]), ISNUMBER(Tabella2[[#This Row],[Area (mm^2)]])), Tabella2[[#This Row],[Mean AXIAL stress  (MPa)]]*Tabella2[[#This Row],[Area (mm^2)]], "Null")</f>
        <v>0</v>
      </c>
      <c r="AC99" s="8">
        <f>IF( AND(ISNUMBER(Tabella2[[#This Row],[Amplitute AXIAL stress  (MPa)]]), ISNUMBER(Tabella2[[#This Row],[Area (mm^2)]])), Tabella2[[#This Row],[Amplitute AXIAL stress  (MPa)]]*Tabella2[[#This Row],[Area (mm^2)]],"Null")</f>
        <v>14495.190693938795</v>
      </c>
      <c r="AD99" s="8">
        <f>IF( AND(ISNUMBER(Tabella2[[#This Row],[Amplitude AXIAL force (N)]]), ISNUMBER(Tabella2[[#This Row],[Mean AXIAL force (N)]])), Tabella2[[#This Row],[Amplitude AXIAL force (N)]]+Tabella2[[#This Row],[Mean AXIAL force (N)]],"Null")</f>
        <v>14495.190693938795</v>
      </c>
      <c r="AE9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13182.440762544176</v>
      </c>
      <c r="AG99" s="1">
        <f>IF(
   AND(ISNUMBER(Tabella2[[#This Row],[Mean TORQUE (Nmm)]]), ISNUMBER(Tabella2[[#This Row],[Amplitude TORQUE (Nmm)]])),
   Tabella2[[#This Row],[Mean TORQUE (Nmm)]]+Tabella2[[#This Row],[Amplitude TORQUE (Nmm)]],
   "Null"
)</f>
        <v>13182.440762544176</v>
      </c>
      <c r="AH9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657.64865239731159</v>
      </c>
      <c r="AI9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0.57741935483870965</v>
      </c>
    </row>
    <row r="100" spans="1:35" x14ac:dyDescent="0.25">
      <c r="A100" s="1" t="s">
        <v>156</v>
      </c>
      <c r="B100" s="1">
        <v>2014</v>
      </c>
      <c r="C100" s="1" t="s">
        <v>155</v>
      </c>
      <c r="D100" s="1" t="s">
        <v>163</v>
      </c>
      <c r="E100" s="8">
        <v>97366</v>
      </c>
      <c r="F100" s="1" t="s">
        <v>34</v>
      </c>
      <c r="G100" s="1" t="s">
        <v>43</v>
      </c>
      <c r="H100" s="1" t="e" vm="5">
        <v>#VALUE!</v>
      </c>
      <c r="I100" s="1" t="s">
        <v>45</v>
      </c>
      <c r="J100" s="1" t="s">
        <v>34</v>
      </c>
      <c r="K100" s="1">
        <v>6.3</v>
      </c>
      <c r="L100" s="8">
        <f>PI()*(Tabella2[[#This Row],[Diameter (mm)]]/2)^2</f>
        <v>31.17245310524472</v>
      </c>
      <c r="M100" s="8">
        <f>(PI()*Tabella2[[#This Row],[Diameter (mm)]]^4)/32</f>
        <v>154.65433296839535</v>
      </c>
      <c r="N100" s="1" t="s">
        <v>35</v>
      </c>
      <c r="O100" s="1">
        <v>0</v>
      </c>
      <c r="P100" s="1" t="s">
        <v>35</v>
      </c>
      <c r="Q100" s="1">
        <v>-1</v>
      </c>
      <c r="R100" s="1">
        <v>-1</v>
      </c>
      <c r="S10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0" s="1" t="s">
        <v>35</v>
      </c>
      <c r="U10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0" s="7">
        <v>470</v>
      </c>
      <c r="W10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0" s="7">
        <v>271.39999999999998</v>
      </c>
      <c r="Y100" s="7" t="str">
        <f>Tabella2[[#This Row],[Mean RADIAL stress  (MPa)]]</f>
        <v>Null</v>
      </c>
      <c r="Z100" s="7" t="str">
        <f>Tabella2[[#This Row],[Amplitute RADIAL stress  (MPa)]]</f>
        <v>Null</v>
      </c>
      <c r="AA10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0" s="8">
        <f>IF( AND(ISNUMBER(Tabella2[[#This Row],[Mean AXIAL stress  (MPa)]]), ISNUMBER(Tabella2[[#This Row],[Area (mm^2)]])), Tabella2[[#This Row],[Mean AXIAL stress  (MPa)]]*Tabella2[[#This Row],[Area (mm^2)]], "Null")</f>
        <v>0</v>
      </c>
      <c r="AC100" s="8">
        <f>IF( AND(ISNUMBER(Tabella2[[#This Row],[Amplitute AXIAL stress  (MPa)]]), ISNUMBER(Tabella2[[#This Row],[Area (mm^2)]])), Tabella2[[#This Row],[Amplitute AXIAL stress  (MPa)]]*Tabella2[[#This Row],[Area (mm^2)]],"Null")</f>
        <v>14651.052959465018</v>
      </c>
      <c r="AD100" s="8">
        <f>IF( AND(ISNUMBER(Tabella2[[#This Row],[Amplitude AXIAL force (N)]]), ISNUMBER(Tabella2[[#This Row],[Mean AXIAL force (N)]])), Tabella2[[#This Row],[Amplitude AXIAL force (N)]]+Tabella2[[#This Row],[Mean AXIAL force (N)]],"Null")</f>
        <v>14651.052959465018</v>
      </c>
      <c r="AE10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13324.820942102378</v>
      </c>
      <c r="AG100" s="1">
        <f>IF(
   AND(ISNUMBER(Tabella2[[#This Row],[Mean TORQUE (Nmm)]]), ISNUMBER(Tabella2[[#This Row],[Amplitude TORQUE (Nmm)]])),
   Tabella2[[#This Row],[Mean TORQUE (Nmm)]]+Tabella2[[#This Row],[Amplitude TORQUE (Nmm)]],
   "Null"
)</f>
        <v>13324.820942102378</v>
      </c>
      <c r="AH10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664.73594757617855</v>
      </c>
      <c r="AI10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0.57744680851063823</v>
      </c>
    </row>
    <row r="101" spans="1:35" x14ac:dyDescent="0.25">
      <c r="A101" s="1" t="s">
        <v>156</v>
      </c>
      <c r="B101" s="1">
        <v>2014</v>
      </c>
      <c r="C101" s="1" t="s">
        <v>155</v>
      </c>
      <c r="D101" s="1" t="s">
        <v>164</v>
      </c>
      <c r="E101" s="8">
        <v>48740</v>
      </c>
      <c r="F101" s="1" t="s">
        <v>34</v>
      </c>
      <c r="G101" s="1" t="s">
        <v>43</v>
      </c>
      <c r="H101" s="1" t="e" vm="5">
        <v>#VALUE!</v>
      </c>
      <c r="I101" s="1" t="s">
        <v>45</v>
      </c>
      <c r="J101" s="1" t="s">
        <v>34</v>
      </c>
      <c r="K101" s="1">
        <v>6.3</v>
      </c>
      <c r="L101" s="8">
        <f>PI()*(Tabella2[[#This Row],[Diameter (mm)]]/2)^2</f>
        <v>31.17245310524472</v>
      </c>
      <c r="M101" s="8">
        <f>(PI()*Tabella2[[#This Row],[Diameter (mm)]]^4)/32</f>
        <v>154.65433296839535</v>
      </c>
      <c r="N101" s="1" t="s">
        <v>35</v>
      </c>
      <c r="O101" s="1">
        <v>0</v>
      </c>
      <c r="P101" s="1" t="s">
        <v>35</v>
      </c>
      <c r="Q101" s="1">
        <v>-1</v>
      </c>
      <c r="R101" s="1">
        <v>-1</v>
      </c>
      <c r="S10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1" s="1" t="s">
        <v>35</v>
      </c>
      <c r="U10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1" s="7">
        <v>495</v>
      </c>
      <c r="W10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1" s="7">
        <v>285.8</v>
      </c>
      <c r="Y101" s="7" t="str">
        <f>Tabella2[[#This Row],[Mean RADIAL stress  (MPa)]]</f>
        <v>Null</v>
      </c>
      <c r="Z101" s="7" t="str">
        <f>Tabella2[[#This Row],[Amplitute RADIAL stress  (MPa)]]</f>
        <v>Null</v>
      </c>
      <c r="AA10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1" s="8">
        <f>IF( AND(ISNUMBER(Tabella2[[#This Row],[Mean AXIAL stress  (MPa)]]), ISNUMBER(Tabella2[[#This Row],[Area (mm^2)]])), Tabella2[[#This Row],[Mean AXIAL stress  (MPa)]]*Tabella2[[#This Row],[Area (mm^2)]], "Null")</f>
        <v>0</v>
      </c>
      <c r="AC101" s="8">
        <f>IF( AND(ISNUMBER(Tabella2[[#This Row],[Amplitute AXIAL stress  (MPa)]]), ISNUMBER(Tabella2[[#This Row],[Area (mm^2)]])), Tabella2[[#This Row],[Amplitute AXIAL stress  (MPa)]]*Tabella2[[#This Row],[Area (mm^2)]],"Null")</f>
        <v>15430.364287096136</v>
      </c>
      <c r="AD101" s="8">
        <f>IF( AND(ISNUMBER(Tabella2[[#This Row],[Amplitude AXIAL force (N)]]), ISNUMBER(Tabella2[[#This Row],[Mean AXIAL force (N)]])), Tabella2[[#This Row],[Amplitude AXIAL force (N)]]+Tabella2[[#This Row],[Mean AXIAL force (N)]],"Null")</f>
        <v>15430.364287096136</v>
      </c>
      <c r="AE10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14031.81217852933</v>
      </c>
      <c r="AG101" s="1">
        <f>IF(
   AND(ISNUMBER(Tabella2[[#This Row],[Mean TORQUE (Nmm)]]), ISNUMBER(Tabella2[[#This Row],[Amplitude TORQUE (Nmm)]])),
   Tabella2[[#This Row],[Mean TORQUE (Nmm)]]+Tabella2[[#This Row],[Amplitude TORQUE (Nmm)]],
   "Null"
)</f>
        <v>14031.81217852933</v>
      </c>
      <c r="AH10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700.04994107563493</v>
      </c>
      <c r="AI10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0.57737373737373743</v>
      </c>
    </row>
    <row r="102" spans="1:35" x14ac:dyDescent="0.25">
      <c r="A102" s="1" t="s">
        <v>156</v>
      </c>
      <c r="B102" s="1">
        <v>2014</v>
      </c>
      <c r="C102" s="1" t="s">
        <v>155</v>
      </c>
      <c r="D102" s="1" t="s">
        <v>165</v>
      </c>
      <c r="E102" s="8">
        <v>27204</v>
      </c>
      <c r="F102" s="1" t="s">
        <v>34</v>
      </c>
      <c r="G102" s="1" t="s">
        <v>43</v>
      </c>
      <c r="H102" s="1" t="e" vm="5">
        <v>#VALUE!</v>
      </c>
      <c r="I102" s="1" t="s">
        <v>45</v>
      </c>
      <c r="J102" s="1" t="s">
        <v>34</v>
      </c>
      <c r="K102" s="1">
        <v>6.3</v>
      </c>
      <c r="L102" s="8">
        <f>PI()*(Tabella2[[#This Row],[Diameter (mm)]]/2)^2</f>
        <v>31.17245310524472</v>
      </c>
      <c r="M102" s="8">
        <f>(PI()*Tabella2[[#This Row],[Diameter (mm)]]^4)/32</f>
        <v>154.65433296839535</v>
      </c>
      <c r="N102" s="1" t="s">
        <v>35</v>
      </c>
      <c r="O102" s="1">
        <v>0</v>
      </c>
      <c r="P102" s="1" t="s">
        <v>35</v>
      </c>
      <c r="Q102" s="1">
        <v>-1</v>
      </c>
      <c r="R102" s="1">
        <v>-1</v>
      </c>
      <c r="S10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2" s="1" t="s">
        <v>35</v>
      </c>
      <c r="U10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2" s="7">
        <v>520</v>
      </c>
      <c r="W10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2" s="7">
        <v>300.2</v>
      </c>
      <c r="Y102" s="7" t="str">
        <f>Tabella2[[#This Row],[Mean RADIAL stress  (MPa)]]</f>
        <v>Null</v>
      </c>
      <c r="Z102" s="7" t="str">
        <f>Tabella2[[#This Row],[Amplitute RADIAL stress  (MPa)]]</f>
        <v>Null</v>
      </c>
      <c r="AA10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2" s="8">
        <f>IF( AND(ISNUMBER(Tabella2[[#This Row],[Mean AXIAL stress  (MPa)]]), ISNUMBER(Tabella2[[#This Row],[Area (mm^2)]])), Tabella2[[#This Row],[Mean AXIAL stress  (MPa)]]*Tabella2[[#This Row],[Area (mm^2)]], "Null")</f>
        <v>0</v>
      </c>
      <c r="AC102" s="8">
        <f>IF( AND(ISNUMBER(Tabella2[[#This Row],[Amplitute AXIAL stress  (MPa)]]), ISNUMBER(Tabella2[[#This Row],[Area (mm^2)]])), Tabella2[[#This Row],[Amplitute AXIAL stress  (MPa)]]*Tabella2[[#This Row],[Area (mm^2)]],"Null")</f>
        <v>16209.675614727255</v>
      </c>
      <c r="AD102" s="8">
        <f>IF( AND(ISNUMBER(Tabella2[[#This Row],[Amplitude AXIAL force (N)]]), ISNUMBER(Tabella2[[#This Row],[Mean AXIAL force (N)]])), Tabella2[[#This Row],[Amplitude AXIAL force (N)]]+Tabella2[[#This Row],[Mean AXIAL force (N)]],"Null")</f>
        <v>16209.675614727255</v>
      </c>
      <c r="AE10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14738.803414956279</v>
      </c>
      <c r="AG102" s="1">
        <f>IF(
   AND(ISNUMBER(Tabella2[[#This Row],[Mean TORQUE (Nmm)]]), ISNUMBER(Tabella2[[#This Row],[Amplitude TORQUE (Nmm)]])),
   Tabella2[[#This Row],[Mean TORQUE (Nmm)]]+Tabella2[[#This Row],[Amplitude TORQUE (Nmm)]],
   "Null"
)</f>
        <v>14738.803414956279</v>
      </c>
      <c r="AH10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735.36393710869447</v>
      </c>
      <c r="AI10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0.5773076923076923</v>
      </c>
    </row>
    <row r="103" spans="1:35" x14ac:dyDescent="0.25">
      <c r="A103" s="1" t="s">
        <v>156</v>
      </c>
      <c r="B103" s="1">
        <v>2014</v>
      </c>
      <c r="C103" s="1" t="s">
        <v>155</v>
      </c>
      <c r="D103" s="1" t="s">
        <v>166</v>
      </c>
      <c r="E103" s="8">
        <v>4114</v>
      </c>
      <c r="F103" s="1" t="s">
        <v>34</v>
      </c>
      <c r="G103" s="1" t="s">
        <v>43</v>
      </c>
      <c r="H103" s="1" t="e" vm="5">
        <v>#VALUE!</v>
      </c>
      <c r="I103" s="1" t="s">
        <v>45</v>
      </c>
      <c r="J103" s="1" t="s">
        <v>34</v>
      </c>
      <c r="K103" s="1">
        <v>6.3</v>
      </c>
      <c r="L103" s="8">
        <f>PI()*(Tabella2[[#This Row],[Diameter (mm)]]/2)^2</f>
        <v>31.17245310524472</v>
      </c>
      <c r="M103" s="8">
        <f>(PI()*Tabella2[[#This Row],[Diameter (mm)]]^4)/32</f>
        <v>154.65433296839535</v>
      </c>
      <c r="N103" s="1" t="s">
        <v>35</v>
      </c>
      <c r="O103" s="1">
        <v>90</v>
      </c>
      <c r="P103" s="1" t="s">
        <v>35</v>
      </c>
      <c r="Q103" s="1">
        <v>-1</v>
      </c>
      <c r="R103" s="1">
        <v>-1</v>
      </c>
      <c r="S10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3" s="1" t="s">
        <v>35</v>
      </c>
      <c r="U10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3" s="7">
        <v>610</v>
      </c>
      <c r="W10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3" s="7">
        <v>352.2</v>
      </c>
      <c r="Y103" s="7" t="str">
        <f>Tabella2[[#This Row],[Mean RADIAL stress  (MPa)]]</f>
        <v>Null</v>
      </c>
      <c r="Z103" s="7" t="str">
        <f>Tabella2[[#This Row],[Amplitute RADIAL stress  (MPa)]]</f>
        <v>Null</v>
      </c>
      <c r="AA10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3" s="8">
        <f>IF( AND(ISNUMBER(Tabella2[[#This Row],[Mean AXIAL stress  (MPa)]]), ISNUMBER(Tabella2[[#This Row],[Area (mm^2)]])), Tabella2[[#This Row],[Mean AXIAL stress  (MPa)]]*Tabella2[[#This Row],[Area (mm^2)]], "Null")</f>
        <v>0</v>
      </c>
      <c r="AC103" s="8">
        <f>IF( AND(ISNUMBER(Tabella2[[#This Row],[Amplitute AXIAL stress  (MPa)]]), ISNUMBER(Tabella2[[#This Row],[Area (mm^2)]])), Tabella2[[#This Row],[Amplitute AXIAL stress  (MPa)]]*Tabella2[[#This Row],[Area (mm^2)]],"Null")</f>
        <v>19015.19639419928</v>
      </c>
      <c r="AD103" s="8">
        <f>IF( AND(ISNUMBER(Tabella2[[#This Row],[Amplitude AXIAL force (N)]]), ISNUMBER(Tabella2[[#This Row],[Mean AXIAL force (N)]])), Tabella2[[#This Row],[Amplitude AXIAL force (N)]]+Tabella2[[#This Row],[Mean AXIAL force (N)]],"Null")</f>
        <v>19015.19639419928</v>
      </c>
      <c r="AE10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17291.827324275822</v>
      </c>
      <c r="AG103" s="1">
        <f>IF(
   AND(ISNUMBER(Tabella2[[#This Row],[Mean TORQUE (Nmm)]]), ISNUMBER(Tabella2[[#This Row],[Amplitude TORQUE (Nmm)]])),
   Tabella2[[#This Row],[Mean TORQUE (Nmm)]]+Tabella2[[#This Row],[Amplitude TORQUE (Nmm)]],
   "Null"
)</f>
        <v>17291.827324275822</v>
      </c>
      <c r="AH10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862.69028045991104</v>
      </c>
      <c r="AI10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0.57737704918032784</v>
      </c>
    </row>
    <row r="104" spans="1:35" x14ac:dyDescent="0.25">
      <c r="A104" s="1" t="s">
        <v>156</v>
      </c>
      <c r="B104" s="1">
        <v>2014</v>
      </c>
      <c r="C104" s="1" t="s">
        <v>155</v>
      </c>
      <c r="D104" s="1" t="s">
        <v>167</v>
      </c>
      <c r="E104" s="8">
        <v>1000000</v>
      </c>
      <c r="F104" s="1" t="s">
        <v>64</v>
      </c>
      <c r="G104" s="1" t="s">
        <v>43</v>
      </c>
      <c r="H104" s="1" t="e" vm="5">
        <v>#VALUE!</v>
      </c>
      <c r="I104" s="1" t="s">
        <v>45</v>
      </c>
      <c r="J104" s="1" t="s">
        <v>34</v>
      </c>
      <c r="K104" s="1">
        <v>6.3</v>
      </c>
      <c r="L104" s="8">
        <f>PI()*(Tabella2[[#This Row],[Diameter (mm)]]/2)^2</f>
        <v>31.17245310524472</v>
      </c>
      <c r="M104" s="8">
        <f>(PI()*Tabella2[[#This Row],[Diameter (mm)]]^4)/32</f>
        <v>154.65433296839535</v>
      </c>
      <c r="N104" s="1" t="s">
        <v>35</v>
      </c>
      <c r="O104" s="1">
        <v>90</v>
      </c>
      <c r="P104" s="1" t="s">
        <v>35</v>
      </c>
      <c r="Q104" s="1">
        <v>-1</v>
      </c>
      <c r="R104" s="1">
        <v>-1</v>
      </c>
      <c r="S10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4" s="1" t="s">
        <v>35</v>
      </c>
      <c r="U10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4" s="7">
        <v>450</v>
      </c>
      <c r="W10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4" s="7">
        <v>259.8</v>
      </c>
      <c r="Y104" s="7" t="str">
        <f>Tabella2[[#This Row],[Mean RADIAL stress  (MPa)]]</f>
        <v>Null</v>
      </c>
      <c r="Z104" s="7" t="str">
        <f>Tabella2[[#This Row],[Amplitute RADIAL stress  (MPa)]]</f>
        <v>Null</v>
      </c>
      <c r="AA10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4" s="8">
        <f>IF( AND(ISNUMBER(Tabella2[[#This Row],[Mean AXIAL stress  (MPa)]]), ISNUMBER(Tabella2[[#This Row],[Area (mm^2)]])), Tabella2[[#This Row],[Mean AXIAL stress  (MPa)]]*Tabella2[[#This Row],[Area (mm^2)]], "Null")</f>
        <v>0</v>
      </c>
      <c r="AC104" s="8">
        <f>IF( AND(ISNUMBER(Tabella2[[#This Row],[Amplitute AXIAL stress  (MPa)]]), ISNUMBER(Tabella2[[#This Row],[Area (mm^2)]])), Tabella2[[#This Row],[Amplitute AXIAL stress  (MPa)]]*Tabella2[[#This Row],[Area (mm^2)]],"Null")</f>
        <v>14027.603897360124</v>
      </c>
      <c r="AD104" s="8">
        <f>IF( AND(ISNUMBER(Tabella2[[#This Row],[Amplitude AXIAL force (N)]]), ISNUMBER(Tabella2[[#This Row],[Mean AXIAL force (N)]])), Tabella2[[#This Row],[Amplitude AXIAL force (N)]]+Tabella2[[#This Row],[Mean AXIAL force (N)]],"Null")</f>
        <v>14027.603897360124</v>
      </c>
      <c r="AE10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12755.300223869561</v>
      </c>
      <c r="AG104" s="1">
        <f>IF(
   AND(ISNUMBER(Tabella2[[#This Row],[Mean TORQUE (Nmm)]]), ISNUMBER(Tabella2[[#This Row],[Amplitude TORQUE (Nmm)]])),
   Tabella2[[#This Row],[Mean TORQUE (Nmm)]]+Tabella2[[#This Row],[Amplitude TORQUE (Nmm)]],
   "Null"
)</f>
        <v>12755.300223869561</v>
      </c>
      <c r="AH10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636.38676918993212</v>
      </c>
      <c r="AI10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0.57733333333333337</v>
      </c>
    </row>
    <row r="105" spans="1:35" x14ac:dyDescent="0.25">
      <c r="A105" s="1" t="s">
        <v>156</v>
      </c>
      <c r="B105" s="1">
        <v>2014</v>
      </c>
      <c r="C105" s="1" t="s">
        <v>155</v>
      </c>
      <c r="D105" s="1" t="s">
        <v>168</v>
      </c>
      <c r="E105" s="8">
        <v>618128</v>
      </c>
      <c r="F105" s="1" t="s">
        <v>34</v>
      </c>
      <c r="G105" s="1" t="s">
        <v>43</v>
      </c>
      <c r="H105" s="1" t="e" vm="5">
        <v>#VALUE!</v>
      </c>
      <c r="I105" s="1" t="s">
        <v>45</v>
      </c>
      <c r="J105" s="1" t="s">
        <v>34</v>
      </c>
      <c r="K105" s="1">
        <v>6.3</v>
      </c>
      <c r="L105" s="8">
        <f>PI()*(Tabella2[[#This Row],[Diameter (mm)]]/2)^2</f>
        <v>31.17245310524472</v>
      </c>
      <c r="M105" s="8">
        <f>(PI()*Tabella2[[#This Row],[Diameter (mm)]]^4)/32</f>
        <v>154.65433296839535</v>
      </c>
      <c r="N105" s="1" t="s">
        <v>35</v>
      </c>
      <c r="O105" s="1">
        <v>90</v>
      </c>
      <c r="P105" s="1" t="s">
        <v>35</v>
      </c>
      <c r="Q105" s="1">
        <v>-1</v>
      </c>
      <c r="R105" s="1">
        <v>-1</v>
      </c>
      <c r="S10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5" s="1" t="s">
        <v>35</v>
      </c>
      <c r="U10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5" s="7">
        <v>465</v>
      </c>
      <c r="W10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5" s="7">
        <v>268.5</v>
      </c>
      <c r="Y105" s="7" t="str">
        <f>Tabella2[[#This Row],[Mean RADIAL stress  (MPa)]]</f>
        <v>Null</v>
      </c>
      <c r="Z105" s="7" t="str">
        <f>Tabella2[[#This Row],[Amplitute RADIAL stress  (MPa)]]</f>
        <v>Null</v>
      </c>
      <c r="AA10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5" s="8">
        <f>IF( AND(ISNUMBER(Tabella2[[#This Row],[Mean AXIAL stress  (MPa)]]), ISNUMBER(Tabella2[[#This Row],[Area (mm^2)]])), Tabella2[[#This Row],[Mean AXIAL stress  (MPa)]]*Tabella2[[#This Row],[Area (mm^2)]], "Null")</f>
        <v>0</v>
      </c>
      <c r="AC105" s="8">
        <f>IF( AND(ISNUMBER(Tabella2[[#This Row],[Amplitute AXIAL stress  (MPa)]]), ISNUMBER(Tabella2[[#This Row],[Area (mm^2)]])), Tabella2[[#This Row],[Amplitute AXIAL stress  (MPa)]]*Tabella2[[#This Row],[Area (mm^2)]],"Null")</f>
        <v>14495.190693938795</v>
      </c>
      <c r="AD105" s="8">
        <f>IF( AND(ISNUMBER(Tabella2[[#This Row],[Amplitude AXIAL force (N)]]), ISNUMBER(Tabella2[[#This Row],[Mean AXIAL force (N)]])), Tabella2[[#This Row],[Amplitude AXIAL force (N)]]+Tabella2[[#This Row],[Mean AXIAL force (N)]],"Null")</f>
        <v>14495.190693938795</v>
      </c>
      <c r="AE10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13182.440762544176</v>
      </c>
      <c r="AG105" s="1">
        <f>IF(
   AND(ISNUMBER(Tabella2[[#This Row],[Mean TORQUE (Nmm)]]), ISNUMBER(Tabella2[[#This Row],[Amplitude TORQUE (Nmm)]])),
   Tabella2[[#This Row],[Mean TORQUE (Nmm)]]+Tabella2[[#This Row],[Amplitude TORQUE (Nmm)]],
   "Null"
)</f>
        <v>13182.440762544176</v>
      </c>
      <c r="AH10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657.64865239731159</v>
      </c>
      <c r="AI10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0.57741935483870965</v>
      </c>
    </row>
    <row r="106" spans="1:35" x14ac:dyDescent="0.25">
      <c r="A106" s="1" t="s">
        <v>156</v>
      </c>
      <c r="B106" s="1">
        <v>2014</v>
      </c>
      <c r="C106" s="1" t="s">
        <v>155</v>
      </c>
      <c r="D106" s="1" t="s">
        <v>169</v>
      </c>
      <c r="E106" s="8">
        <v>316712</v>
      </c>
      <c r="F106" s="1" t="s">
        <v>34</v>
      </c>
      <c r="G106" s="1" t="s">
        <v>43</v>
      </c>
      <c r="H106" s="1" t="e" vm="5">
        <v>#VALUE!</v>
      </c>
      <c r="I106" s="1" t="s">
        <v>45</v>
      </c>
      <c r="J106" s="1" t="s">
        <v>34</v>
      </c>
      <c r="K106" s="1">
        <v>6.3</v>
      </c>
      <c r="L106" s="8">
        <f>PI()*(Tabella2[[#This Row],[Diameter (mm)]]/2)^2</f>
        <v>31.17245310524472</v>
      </c>
      <c r="M106" s="8">
        <f>(PI()*Tabella2[[#This Row],[Diameter (mm)]]^4)/32</f>
        <v>154.65433296839535</v>
      </c>
      <c r="N106" s="1" t="s">
        <v>35</v>
      </c>
      <c r="O106" s="1">
        <v>90</v>
      </c>
      <c r="P106" s="1" t="s">
        <v>35</v>
      </c>
      <c r="Q106" s="1">
        <v>-1</v>
      </c>
      <c r="R106" s="1">
        <v>-1</v>
      </c>
      <c r="S10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6" s="1" t="s">
        <v>35</v>
      </c>
      <c r="U10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6" s="7">
        <v>475</v>
      </c>
      <c r="W10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6" s="7">
        <v>274.2</v>
      </c>
      <c r="Y106" s="7" t="str">
        <f>Tabella2[[#This Row],[Mean RADIAL stress  (MPa)]]</f>
        <v>Null</v>
      </c>
      <c r="Z106" s="7" t="str">
        <f>Tabella2[[#This Row],[Amplitute RADIAL stress  (MPa)]]</f>
        <v>Null</v>
      </c>
      <c r="AA10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6" s="8">
        <f>IF( AND(ISNUMBER(Tabella2[[#This Row],[Mean AXIAL stress  (MPa)]]), ISNUMBER(Tabella2[[#This Row],[Area (mm^2)]])), Tabella2[[#This Row],[Mean AXIAL stress  (MPa)]]*Tabella2[[#This Row],[Area (mm^2)]], "Null")</f>
        <v>0</v>
      </c>
      <c r="AC106" s="8">
        <f>IF( AND(ISNUMBER(Tabella2[[#This Row],[Amplitute AXIAL stress  (MPa)]]), ISNUMBER(Tabella2[[#This Row],[Area (mm^2)]])), Tabella2[[#This Row],[Amplitute AXIAL stress  (MPa)]]*Tabella2[[#This Row],[Area (mm^2)]],"Null")</f>
        <v>14806.915224991242</v>
      </c>
      <c r="AD106" s="8">
        <f>IF( AND(ISNUMBER(Tabella2[[#This Row],[Amplitude AXIAL force (N)]]), ISNUMBER(Tabella2[[#This Row],[Mean AXIAL force (N)]])), Tabella2[[#This Row],[Amplitude AXIAL force (N)]]+Tabella2[[#This Row],[Mean AXIAL force (N)]],"Null")</f>
        <v>14806.915224991242</v>
      </c>
      <c r="AE10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13462.29146029651</v>
      </c>
      <c r="AG106" s="1">
        <f>IF(
   AND(ISNUMBER(Tabella2[[#This Row],[Mean TORQUE (Nmm)]]), ISNUMBER(Tabella2[[#This Row],[Amplitude TORQUE (Nmm)]])),
   Tabella2[[#This Row],[Mean TORQUE (Nmm)]]+Tabella2[[#This Row],[Amplitude TORQUE (Nmm)]],
   "Null"
)</f>
        <v>13462.29146029651</v>
      </c>
      <c r="AH10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671.70076671089191</v>
      </c>
      <c r="AI10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0.57726315789473681</v>
      </c>
    </row>
    <row r="107" spans="1:35" ht="17.45" customHeight="1" x14ac:dyDescent="0.25">
      <c r="A107" s="1" t="s">
        <v>156</v>
      </c>
      <c r="B107" s="1">
        <v>2014</v>
      </c>
      <c r="C107" s="1" t="s">
        <v>155</v>
      </c>
      <c r="D107" s="1" t="s">
        <v>170</v>
      </c>
      <c r="E107" s="8">
        <v>197548</v>
      </c>
      <c r="F107" s="1" t="s">
        <v>34</v>
      </c>
      <c r="G107" s="1" t="s">
        <v>43</v>
      </c>
      <c r="H107" s="1" t="e" vm="5">
        <v>#VALUE!</v>
      </c>
      <c r="I107" s="1" t="s">
        <v>45</v>
      </c>
      <c r="J107" s="1" t="s">
        <v>34</v>
      </c>
      <c r="K107" s="1">
        <v>6.3</v>
      </c>
      <c r="L107" s="8">
        <f>PI()*(Tabella2[[#This Row],[Diameter (mm)]]/2)^2</f>
        <v>31.17245310524472</v>
      </c>
      <c r="M107" s="8">
        <f>(PI()*Tabella2[[#This Row],[Diameter (mm)]]^4)/32</f>
        <v>154.65433296839535</v>
      </c>
      <c r="N107" s="1" t="s">
        <v>35</v>
      </c>
      <c r="O107" s="1">
        <v>90</v>
      </c>
      <c r="P107" s="1" t="s">
        <v>35</v>
      </c>
      <c r="Q107" s="1">
        <v>-1</v>
      </c>
      <c r="R107" s="1">
        <v>-1</v>
      </c>
      <c r="S10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7" s="1" t="s">
        <v>35</v>
      </c>
      <c r="U10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7" s="7">
        <v>485</v>
      </c>
      <c r="W10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7" s="7">
        <v>280</v>
      </c>
      <c r="Y107" s="7" t="str">
        <f>Tabella2[[#This Row],[Mean RADIAL stress  (MPa)]]</f>
        <v>Null</v>
      </c>
      <c r="Z107" s="7" t="str">
        <f>Tabella2[[#This Row],[Amplitute RADIAL stress  (MPa)]]</f>
        <v>Null</v>
      </c>
      <c r="AA10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7" s="8">
        <f>IF( AND(ISNUMBER(Tabella2[[#This Row],[Mean AXIAL stress  (MPa)]]), ISNUMBER(Tabella2[[#This Row],[Area (mm^2)]])), Tabella2[[#This Row],[Mean AXIAL stress  (MPa)]]*Tabella2[[#This Row],[Area (mm^2)]], "Null")</f>
        <v>0</v>
      </c>
      <c r="AC107" s="8">
        <f>IF( AND(ISNUMBER(Tabella2[[#This Row],[Amplitute AXIAL stress  (MPa)]]), ISNUMBER(Tabella2[[#This Row],[Area (mm^2)]])), Tabella2[[#This Row],[Amplitute AXIAL stress  (MPa)]]*Tabella2[[#This Row],[Area (mm^2)]],"Null")</f>
        <v>15118.639756043689</v>
      </c>
      <c r="AD107" s="8">
        <f>IF( AND(ISNUMBER(Tabella2[[#This Row],[Amplitude AXIAL force (N)]]), ISNUMBER(Tabella2[[#This Row],[Mean AXIAL force (N)]])), Tabella2[[#This Row],[Amplitude AXIAL force (N)]]+Tabella2[[#This Row],[Mean AXIAL force (N)]],"Null")</f>
        <v>15118.639756043689</v>
      </c>
      <c r="AE10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13747.051819412922</v>
      </c>
      <c r="AG107" s="1">
        <f>IF(
   AND(ISNUMBER(Tabella2[[#This Row],[Mean TORQUE (Nmm)]]), ISNUMBER(Tabella2[[#This Row],[Amplitude TORQUE (Nmm)]])),
   Tabella2[[#This Row],[Mean TORQUE (Nmm)]]+Tabella2[[#This Row],[Amplitude TORQUE (Nmm)]],
   "Null"
)</f>
        <v>13747.051819412922</v>
      </c>
      <c r="AH10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685.87535310725377</v>
      </c>
      <c r="AI10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0.57731958762886593</v>
      </c>
    </row>
    <row r="108" spans="1:35" x14ac:dyDescent="0.25">
      <c r="A108" s="1" t="s">
        <v>156</v>
      </c>
      <c r="B108" s="1">
        <v>2014</v>
      </c>
      <c r="C108" s="1" t="s">
        <v>155</v>
      </c>
      <c r="D108" s="1" t="s">
        <v>171</v>
      </c>
      <c r="E108" s="8">
        <v>107374</v>
      </c>
      <c r="F108" s="1" t="s">
        <v>34</v>
      </c>
      <c r="G108" s="1" t="s">
        <v>43</v>
      </c>
      <c r="H108" s="1" t="e" vm="5">
        <v>#VALUE!</v>
      </c>
      <c r="I108" s="1" t="s">
        <v>45</v>
      </c>
      <c r="J108" s="1" t="s">
        <v>34</v>
      </c>
      <c r="K108" s="1">
        <v>6.3</v>
      </c>
      <c r="L108" s="8">
        <f>PI()*(Tabella2[[#This Row],[Diameter (mm)]]/2)^2</f>
        <v>31.17245310524472</v>
      </c>
      <c r="M108" s="8">
        <f>(PI()*Tabella2[[#This Row],[Diameter (mm)]]^4)/32</f>
        <v>154.65433296839535</v>
      </c>
      <c r="N108" s="1" t="s">
        <v>35</v>
      </c>
      <c r="O108" s="1">
        <v>90</v>
      </c>
      <c r="P108" s="1" t="s">
        <v>35</v>
      </c>
      <c r="Q108" s="1">
        <v>-1</v>
      </c>
      <c r="R108" s="1">
        <v>-1</v>
      </c>
      <c r="S10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8" s="1" t="s">
        <v>35</v>
      </c>
      <c r="U10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8" s="7">
        <v>490</v>
      </c>
      <c r="W10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8" s="7">
        <v>282.89999999999998</v>
      </c>
      <c r="Y108" s="7" t="str">
        <f>Tabella2[[#This Row],[Mean RADIAL stress  (MPa)]]</f>
        <v>Null</v>
      </c>
      <c r="Z108" s="7" t="str">
        <f>Tabella2[[#This Row],[Amplitute RADIAL stress  (MPa)]]</f>
        <v>Null</v>
      </c>
      <c r="AA10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8" s="8">
        <f>IF( AND(ISNUMBER(Tabella2[[#This Row],[Mean AXIAL stress  (MPa)]]), ISNUMBER(Tabella2[[#This Row],[Area (mm^2)]])), Tabella2[[#This Row],[Mean AXIAL stress  (MPa)]]*Tabella2[[#This Row],[Area (mm^2)]], "Null")</f>
        <v>0</v>
      </c>
      <c r="AC108" s="8">
        <f>IF( AND(ISNUMBER(Tabella2[[#This Row],[Amplitute AXIAL stress  (MPa)]]), ISNUMBER(Tabella2[[#This Row],[Area (mm^2)]])), Tabella2[[#This Row],[Amplitute AXIAL stress  (MPa)]]*Tabella2[[#This Row],[Area (mm^2)]],"Null")</f>
        <v>15274.502021569913</v>
      </c>
      <c r="AD108" s="8">
        <f>IF( AND(ISNUMBER(Tabella2[[#This Row],[Amplitude AXIAL force (N)]]), ISNUMBER(Tabella2[[#This Row],[Mean AXIAL force (N)]])), Tabella2[[#This Row],[Amplitude AXIAL force (N)]]+Tabella2[[#This Row],[Mean AXIAL force (N)]],"Null")</f>
        <v>15274.502021569913</v>
      </c>
      <c r="AE10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13889.431998971124</v>
      </c>
      <c r="AG108" s="1">
        <f>IF(
   AND(ISNUMBER(Tabella2[[#This Row],[Mean TORQUE (Nmm)]]), ISNUMBER(Tabella2[[#This Row],[Amplitude TORQUE (Nmm)]])),
   Tabella2[[#This Row],[Mean TORQUE (Nmm)]]+Tabella2[[#This Row],[Amplitude TORQUE (Nmm)]],
   "Null"
)</f>
        <v>13889.431998971124</v>
      </c>
      <c r="AH10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692.96264690097109</v>
      </c>
      <c r="AI10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0.57734693877551013</v>
      </c>
    </row>
    <row r="109" spans="1:35" x14ac:dyDescent="0.25">
      <c r="A109" s="1" t="s">
        <v>156</v>
      </c>
      <c r="B109" s="1">
        <v>2014</v>
      </c>
      <c r="C109" s="1" t="s">
        <v>155</v>
      </c>
      <c r="D109" s="1" t="s">
        <v>172</v>
      </c>
      <c r="E109" s="8">
        <v>97548</v>
      </c>
      <c r="F109" s="1" t="s">
        <v>34</v>
      </c>
      <c r="G109" s="1" t="s">
        <v>43</v>
      </c>
      <c r="H109" s="1" t="e" vm="5">
        <v>#VALUE!</v>
      </c>
      <c r="I109" s="1" t="s">
        <v>45</v>
      </c>
      <c r="J109" s="1" t="s">
        <v>34</v>
      </c>
      <c r="K109" s="1">
        <v>6.3</v>
      </c>
      <c r="L109" s="8">
        <f>PI()*(Tabella2[[#This Row],[Diameter (mm)]]/2)^2</f>
        <v>31.17245310524472</v>
      </c>
      <c r="M109" s="8">
        <f>(PI()*Tabella2[[#This Row],[Diameter (mm)]]^4)/32</f>
        <v>154.65433296839535</v>
      </c>
      <c r="N109" s="1" t="s">
        <v>35</v>
      </c>
      <c r="O109" s="1">
        <v>90</v>
      </c>
      <c r="P109" s="1" t="s">
        <v>35</v>
      </c>
      <c r="Q109" s="1">
        <v>-1</v>
      </c>
      <c r="R109" s="1">
        <v>-1</v>
      </c>
      <c r="S10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9" s="1" t="s">
        <v>35</v>
      </c>
      <c r="U10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9" s="7">
        <v>495</v>
      </c>
      <c r="W10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9" s="7">
        <v>285.8</v>
      </c>
      <c r="Y109" s="7" t="str">
        <f>Tabella2[[#This Row],[Mean RADIAL stress  (MPa)]]</f>
        <v>Null</v>
      </c>
      <c r="Z109" s="7" t="str">
        <f>Tabella2[[#This Row],[Amplitute RADIAL stress  (MPa)]]</f>
        <v>Null</v>
      </c>
      <c r="AA10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9" s="8">
        <f>IF( AND(ISNUMBER(Tabella2[[#This Row],[Mean AXIAL stress  (MPa)]]), ISNUMBER(Tabella2[[#This Row],[Area (mm^2)]])), Tabella2[[#This Row],[Mean AXIAL stress  (MPa)]]*Tabella2[[#This Row],[Area (mm^2)]], "Null")</f>
        <v>0</v>
      </c>
      <c r="AC109" s="8">
        <f>IF( AND(ISNUMBER(Tabella2[[#This Row],[Amplitute AXIAL stress  (MPa)]]), ISNUMBER(Tabella2[[#This Row],[Area (mm^2)]])), Tabella2[[#This Row],[Amplitute AXIAL stress  (MPa)]]*Tabella2[[#This Row],[Area (mm^2)]],"Null")</f>
        <v>15430.364287096136</v>
      </c>
      <c r="AD109" s="8">
        <f>IF( AND(ISNUMBER(Tabella2[[#This Row],[Amplitude AXIAL force (N)]]), ISNUMBER(Tabella2[[#This Row],[Mean AXIAL force (N)]])), Tabella2[[#This Row],[Amplitude AXIAL force (N)]]+Tabella2[[#This Row],[Mean AXIAL force (N)]],"Null")</f>
        <v>15430.364287096136</v>
      </c>
      <c r="AE10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14031.81217852933</v>
      </c>
      <c r="AG109" s="1">
        <f>IF(
   AND(ISNUMBER(Tabella2[[#This Row],[Mean TORQUE (Nmm)]]), ISNUMBER(Tabella2[[#This Row],[Amplitude TORQUE (Nmm)]])),
   Tabella2[[#This Row],[Mean TORQUE (Nmm)]]+Tabella2[[#This Row],[Amplitude TORQUE (Nmm)]],
   "Null"
)</f>
        <v>14031.81217852933</v>
      </c>
      <c r="AH10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700.04994107563493</v>
      </c>
      <c r="AI10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0.57737373737373743</v>
      </c>
    </row>
    <row r="110" spans="1:35" x14ac:dyDescent="0.25">
      <c r="A110" s="1" t="s">
        <v>156</v>
      </c>
      <c r="B110" s="1">
        <v>2014</v>
      </c>
      <c r="C110" s="1" t="s">
        <v>155</v>
      </c>
      <c r="D110" s="1" t="s">
        <v>173</v>
      </c>
      <c r="E110" s="8">
        <v>56411</v>
      </c>
      <c r="F110" s="1" t="s">
        <v>34</v>
      </c>
      <c r="G110" s="1" t="s">
        <v>43</v>
      </c>
      <c r="H110" s="1" t="e" vm="5">
        <v>#VALUE!</v>
      </c>
      <c r="I110" s="1" t="s">
        <v>45</v>
      </c>
      <c r="J110" s="1" t="s">
        <v>34</v>
      </c>
      <c r="K110" s="1">
        <v>6.3</v>
      </c>
      <c r="L110" s="8">
        <f>PI()*(Tabella2[[#This Row],[Diameter (mm)]]/2)^2</f>
        <v>31.17245310524472</v>
      </c>
      <c r="M110" s="8">
        <f>(PI()*Tabella2[[#This Row],[Diameter (mm)]]^4)/32</f>
        <v>154.65433296839535</v>
      </c>
      <c r="N110" s="1" t="s">
        <v>35</v>
      </c>
      <c r="O110" s="1">
        <v>90</v>
      </c>
      <c r="P110" s="1" t="s">
        <v>35</v>
      </c>
      <c r="Q110" s="1">
        <v>-1</v>
      </c>
      <c r="R110" s="1">
        <v>-1</v>
      </c>
      <c r="S1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0" s="1" t="s">
        <v>35</v>
      </c>
      <c r="U11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0" s="7">
        <v>510</v>
      </c>
      <c r="W11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0" s="7">
        <v>294.39999999999998</v>
      </c>
      <c r="Y110" s="7" t="str">
        <f>Tabella2[[#This Row],[Mean RADIAL stress  (MPa)]]</f>
        <v>Null</v>
      </c>
      <c r="Z110" s="7" t="str">
        <f>Tabella2[[#This Row],[Amplitute RADIAL stress  (MPa)]]</f>
        <v>Null</v>
      </c>
      <c r="AA1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0" s="8">
        <f>IF( AND(ISNUMBER(Tabella2[[#This Row],[Mean AXIAL stress  (MPa)]]), ISNUMBER(Tabella2[[#This Row],[Area (mm^2)]])), Tabella2[[#This Row],[Mean AXIAL stress  (MPa)]]*Tabella2[[#This Row],[Area (mm^2)]], "Null")</f>
        <v>0</v>
      </c>
      <c r="AC110" s="8">
        <f>IF( AND(ISNUMBER(Tabella2[[#This Row],[Amplitute AXIAL stress  (MPa)]]), ISNUMBER(Tabella2[[#This Row],[Area (mm^2)]])), Tabella2[[#This Row],[Amplitute AXIAL stress  (MPa)]]*Tabella2[[#This Row],[Area (mm^2)]],"Null")</f>
        <v>15897.951083674807</v>
      </c>
      <c r="AD110" s="8">
        <f>IF( AND(ISNUMBER(Tabella2[[#This Row],[Amplitude AXIAL force (N)]]), ISNUMBER(Tabella2[[#This Row],[Mean AXIAL force (N)]])), Tabella2[[#This Row],[Amplitude AXIAL force (N)]]+Tabella2[[#This Row],[Mean AXIAL force (N)]],"Null")</f>
        <v>15897.951083674807</v>
      </c>
      <c r="AE11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14454.043055839871</v>
      </c>
      <c r="AG110" s="1">
        <f>IF(
   AND(ISNUMBER(Tabella2[[#This Row],[Mean TORQUE (Nmm)]]), ISNUMBER(Tabella2[[#This Row],[Amplitude TORQUE (Nmm)]])),
   Tabella2[[#This Row],[Mean TORQUE (Nmm)]]+Tabella2[[#This Row],[Amplitude TORQUE (Nmm)]],
   "Null"
)</f>
        <v>14454.043055839871</v>
      </c>
      <c r="AH1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721.18935100291094</v>
      </c>
      <c r="AI11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0.57725490196078422</v>
      </c>
    </row>
    <row r="111" spans="1:35" x14ac:dyDescent="0.25">
      <c r="A111" s="1" t="s">
        <v>156</v>
      </c>
      <c r="B111" s="1">
        <v>2013</v>
      </c>
      <c r="C111" s="1" t="s">
        <v>174</v>
      </c>
      <c r="D111" s="1" t="s">
        <v>175</v>
      </c>
      <c r="E111" s="1">
        <v>6040</v>
      </c>
      <c r="F111" s="1" t="s">
        <v>34</v>
      </c>
      <c r="G111" s="1" t="s">
        <v>43</v>
      </c>
      <c r="H111" s="1" t="e" vm="6">
        <v>#VALUE!</v>
      </c>
      <c r="I111" s="1" t="s">
        <v>45</v>
      </c>
      <c r="J111" s="1" t="s">
        <v>34</v>
      </c>
      <c r="K111" s="1">
        <v>7.5</v>
      </c>
      <c r="L111" s="8">
        <f>PI()*(Tabella2[[#This Row],[Diameter (mm)]]/2)^2</f>
        <v>44.178646691106465</v>
      </c>
      <c r="M111" s="8">
        <f>(PI()*Tabella2[[#This Row],[Diameter (mm)]]^4)/32</f>
        <v>310.63110954684231</v>
      </c>
      <c r="N111" s="1" t="s">
        <v>35</v>
      </c>
      <c r="O111" s="1" t="s">
        <v>35</v>
      </c>
      <c r="P111" s="1" t="s">
        <v>35</v>
      </c>
      <c r="Q111" s="1">
        <v>-1</v>
      </c>
      <c r="R111" s="1" t="s">
        <v>35</v>
      </c>
      <c r="S1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1" s="1" t="s">
        <v>35</v>
      </c>
      <c r="U11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1" s="13">
        <v>700</v>
      </c>
      <c r="W11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1" s="1" t="s">
        <v>35</v>
      </c>
      <c r="Y111" s="7" t="str">
        <f>Tabella2[[#This Row],[Mean RADIAL stress  (MPa)]]</f>
        <v>Null</v>
      </c>
      <c r="Z111" s="7" t="str">
        <f>Tabella2[[#This Row],[Amplitute RADIAL stress  (MPa)]]</f>
        <v>Null</v>
      </c>
      <c r="AA1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1" s="8">
        <f>IF( AND(ISNUMBER(Tabella2[[#This Row],[Mean AXIAL stress  (MPa)]]), ISNUMBER(Tabella2[[#This Row],[Area (mm^2)]])), Tabella2[[#This Row],[Mean AXIAL stress  (MPa)]]*Tabella2[[#This Row],[Area (mm^2)]], "Null")</f>
        <v>0</v>
      </c>
      <c r="AC111" s="8">
        <f>IF( AND(ISNUMBER(Tabella2[[#This Row],[Amplitute AXIAL stress  (MPa)]]), ISNUMBER(Tabella2[[#This Row],[Area (mm^2)]])), Tabella2[[#This Row],[Amplitute AXIAL stress  (MPa)]]*Tabella2[[#This Row],[Area (mm^2)]],"Null")</f>
        <v>30925.052683774524</v>
      </c>
      <c r="AD111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1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700</v>
      </c>
      <c r="AI1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2" spans="1:35" x14ac:dyDescent="0.25">
      <c r="A112" s="1" t="s">
        <v>156</v>
      </c>
      <c r="B112" s="1">
        <v>2013</v>
      </c>
      <c r="C112" s="1" t="s">
        <v>174</v>
      </c>
      <c r="D112" s="1" t="s">
        <v>176</v>
      </c>
      <c r="E112" s="1">
        <v>19951</v>
      </c>
      <c r="F112" s="1" t="s">
        <v>34</v>
      </c>
      <c r="G112" s="1" t="s">
        <v>43</v>
      </c>
      <c r="H112" s="1" t="e" vm="6">
        <v>#VALUE!</v>
      </c>
      <c r="I112" s="1" t="s">
        <v>45</v>
      </c>
      <c r="J112" s="1" t="s">
        <v>34</v>
      </c>
      <c r="K112" s="1">
        <v>7.5</v>
      </c>
      <c r="L112" s="8">
        <f>PI()*(Tabella2[[#This Row],[Diameter (mm)]]/2)^2</f>
        <v>44.178646691106465</v>
      </c>
      <c r="M112" s="8">
        <f>(PI()*Tabella2[[#This Row],[Diameter (mm)]]^4)/32</f>
        <v>310.63110954684231</v>
      </c>
      <c r="N112" s="1" t="s">
        <v>35</v>
      </c>
      <c r="O112" s="1" t="s">
        <v>35</v>
      </c>
      <c r="P112" s="1" t="s">
        <v>35</v>
      </c>
      <c r="Q112" s="1">
        <v>-1</v>
      </c>
      <c r="R112" s="1" t="s">
        <v>35</v>
      </c>
      <c r="S1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2" s="1" t="s">
        <v>35</v>
      </c>
      <c r="U11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2" s="13">
        <v>600</v>
      </c>
      <c r="W11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2" s="1" t="s">
        <v>35</v>
      </c>
      <c r="Y112" s="7" t="str">
        <f>Tabella2[[#This Row],[Mean RADIAL stress  (MPa)]]</f>
        <v>Null</v>
      </c>
      <c r="Z112" s="7" t="str">
        <f>Tabella2[[#This Row],[Amplitute RADIAL stress  (MPa)]]</f>
        <v>Null</v>
      </c>
      <c r="AA1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2" s="8">
        <f>IF( AND(ISNUMBER(Tabella2[[#This Row],[Mean AXIAL stress  (MPa)]]), ISNUMBER(Tabella2[[#This Row],[Area (mm^2)]])), Tabella2[[#This Row],[Mean AXIAL stress  (MPa)]]*Tabella2[[#This Row],[Area (mm^2)]], "Null")</f>
        <v>0</v>
      </c>
      <c r="AC112" s="8">
        <f>IF( AND(ISNUMBER(Tabella2[[#This Row],[Amplitute AXIAL stress  (MPa)]]), ISNUMBER(Tabella2[[#This Row],[Area (mm^2)]])), Tabella2[[#This Row],[Amplitute AXIAL stress  (MPa)]]*Tabella2[[#This Row],[Area (mm^2)]],"Null")</f>
        <v>26507.18801466388</v>
      </c>
      <c r="AD112" s="8">
        <f>IF( AND(ISNUMBER(Tabella2[[#This Row],[Amplitude AXIAL force (N)]]), ISNUMBER(Tabella2[[#This Row],[Mean AXIAL force (N)]])), Tabella2[[#This Row],[Amplitude AXIAL force (N)]]+Tabella2[[#This Row],[Mean AXIAL force (N)]],"Null")</f>
        <v>26507.18801466388</v>
      </c>
      <c r="AE11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600</v>
      </c>
      <c r="AI1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3" spans="1:35" x14ac:dyDescent="0.25">
      <c r="A113" s="1" t="s">
        <v>156</v>
      </c>
      <c r="B113" s="1">
        <v>2013</v>
      </c>
      <c r="C113" s="1" t="s">
        <v>174</v>
      </c>
      <c r="D113" s="1" t="s">
        <v>177</v>
      </c>
      <c r="E113" s="1">
        <v>53752</v>
      </c>
      <c r="F113" s="1" t="s">
        <v>34</v>
      </c>
      <c r="G113" s="1" t="s">
        <v>43</v>
      </c>
      <c r="H113" s="1" t="e" vm="6">
        <v>#VALUE!</v>
      </c>
      <c r="I113" s="1" t="s">
        <v>45</v>
      </c>
      <c r="J113" s="1" t="s">
        <v>34</v>
      </c>
      <c r="K113" s="1">
        <v>7.5</v>
      </c>
      <c r="L113" s="8">
        <f>PI()*(Tabella2[[#This Row],[Diameter (mm)]]/2)^2</f>
        <v>44.178646691106465</v>
      </c>
      <c r="M113" s="8">
        <f>(PI()*Tabella2[[#This Row],[Diameter (mm)]]^4)/32</f>
        <v>310.63110954684231</v>
      </c>
      <c r="N113" s="1" t="s">
        <v>35</v>
      </c>
      <c r="O113" s="1" t="s">
        <v>35</v>
      </c>
      <c r="P113" s="1" t="s">
        <v>35</v>
      </c>
      <c r="Q113" s="1">
        <v>-1</v>
      </c>
      <c r="R113" s="1" t="s">
        <v>35</v>
      </c>
      <c r="S1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3" s="1" t="s">
        <v>35</v>
      </c>
      <c r="U11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3" s="13">
        <v>560</v>
      </c>
      <c r="W11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3" s="1" t="s">
        <v>35</v>
      </c>
      <c r="Y113" s="7" t="str">
        <f>Tabella2[[#This Row],[Mean RADIAL stress  (MPa)]]</f>
        <v>Null</v>
      </c>
      <c r="Z113" s="7" t="str">
        <f>Tabella2[[#This Row],[Amplitute RADIAL stress  (MPa)]]</f>
        <v>Null</v>
      </c>
      <c r="AA1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3" s="8">
        <f>IF( AND(ISNUMBER(Tabella2[[#This Row],[Mean AXIAL stress  (MPa)]]), ISNUMBER(Tabella2[[#This Row],[Area (mm^2)]])), Tabella2[[#This Row],[Mean AXIAL stress  (MPa)]]*Tabella2[[#This Row],[Area (mm^2)]], "Null")</f>
        <v>0</v>
      </c>
      <c r="AC113" s="8">
        <f>IF( AND(ISNUMBER(Tabella2[[#This Row],[Amplitute AXIAL stress  (MPa)]]), ISNUMBER(Tabella2[[#This Row],[Area (mm^2)]])), Tabella2[[#This Row],[Amplitute AXIAL stress  (MPa)]]*Tabella2[[#This Row],[Area (mm^2)]],"Null")</f>
        <v>24740.04214701962</v>
      </c>
      <c r="AD113" s="8">
        <f>IF( AND(ISNUMBER(Tabella2[[#This Row],[Amplitude AXIAL force (N)]]), ISNUMBER(Tabella2[[#This Row],[Mean AXIAL force (N)]])), Tabella2[[#This Row],[Amplitude AXIAL force (N)]]+Tabella2[[#This Row],[Mean AXIAL force (N)]],"Null")</f>
        <v>24740.04214701962</v>
      </c>
      <c r="AE11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560</v>
      </c>
      <c r="AI1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4" spans="1:35" x14ac:dyDescent="0.25">
      <c r="A114" s="1" t="s">
        <v>156</v>
      </c>
      <c r="B114" s="1">
        <v>2013</v>
      </c>
      <c r="C114" s="1" t="s">
        <v>174</v>
      </c>
      <c r="D114" s="1" t="s">
        <v>178</v>
      </c>
      <c r="E114" s="1">
        <v>56929</v>
      </c>
      <c r="F114" s="1" t="s">
        <v>34</v>
      </c>
      <c r="G114" s="1" t="s">
        <v>43</v>
      </c>
      <c r="H114" s="1" t="e" vm="6">
        <v>#VALUE!</v>
      </c>
      <c r="I114" s="1" t="s">
        <v>45</v>
      </c>
      <c r="J114" s="1" t="s">
        <v>34</v>
      </c>
      <c r="K114" s="1">
        <v>7.5</v>
      </c>
      <c r="L114" s="8">
        <f>PI()*(Tabella2[[#This Row],[Diameter (mm)]]/2)^2</f>
        <v>44.178646691106465</v>
      </c>
      <c r="M114" s="8">
        <f>(PI()*Tabella2[[#This Row],[Diameter (mm)]]^4)/32</f>
        <v>310.63110954684231</v>
      </c>
      <c r="N114" s="1" t="s">
        <v>35</v>
      </c>
      <c r="O114" s="1" t="s">
        <v>35</v>
      </c>
      <c r="P114" s="1" t="s">
        <v>35</v>
      </c>
      <c r="Q114" s="1">
        <v>-1</v>
      </c>
      <c r="R114" s="1" t="s">
        <v>35</v>
      </c>
      <c r="S1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4" s="1" t="s">
        <v>35</v>
      </c>
      <c r="U11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4" s="13">
        <v>550</v>
      </c>
      <c r="W11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4" s="1" t="s">
        <v>35</v>
      </c>
      <c r="Y114" s="7" t="str">
        <f>Tabella2[[#This Row],[Mean RADIAL stress  (MPa)]]</f>
        <v>Null</v>
      </c>
      <c r="Z114" s="7" t="str">
        <f>Tabella2[[#This Row],[Amplitute RADIAL stress  (MPa)]]</f>
        <v>Null</v>
      </c>
      <c r="AA1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4" s="8">
        <f>IF( AND(ISNUMBER(Tabella2[[#This Row],[Mean AXIAL stress  (MPa)]]), ISNUMBER(Tabella2[[#This Row],[Area (mm^2)]])), Tabella2[[#This Row],[Mean AXIAL stress  (MPa)]]*Tabella2[[#This Row],[Area (mm^2)]], "Null")</f>
        <v>0</v>
      </c>
      <c r="AC114" s="8">
        <f>IF( AND(ISNUMBER(Tabella2[[#This Row],[Amplitute AXIAL stress  (MPa)]]), ISNUMBER(Tabella2[[#This Row],[Area (mm^2)]])), Tabella2[[#This Row],[Amplitute AXIAL stress  (MPa)]]*Tabella2[[#This Row],[Area (mm^2)]],"Null")</f>
        <v>24298.255680108556</v>
      </c>
      <c r="AD114" s="8">
        <f>IF( AND(ISNUMBER(Tabella2[[#This Row],[Amplitude AXIAL force (N)]]), ISNUMBER(Tabella2[[#This Row],[Mean AXIAL force (N)]])), Tabella2[[#This Row],[Amplitude AXIAL force (N)]]+Tabella2[[#This Row],[Mean AXIAL force (N)]],"Null")</f>
        <v>24298.255680108556</v>
      </c>
      <c r="AE11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  <c r="AI1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5" spans="1:35" x14ac:dyDescent="0.25">
      <c r="A115" s="1" t="s">
        <v>156</v>
      </c>
      <c r="B115" s="1">
        <v>2013</v>
      </c>
      <c r="C115" s="1" t="s">
        <v>174</v>
      </c>
      <c r="D115" s="1" t="s">
        <v>179</v>
      </c>
      <c r="E115" s="1">
        <v>247953</v>
      </c>
      <c r="F115" s="1" t="s">
        <v>34</v>
      </c>
      <c r="G115" s="1" t="s">
        <v>43</v>
      </c>
      <c r="H115" s="1" t="e" vm="6">
        <v>#VALUE!</v>
      </c>
      <c r="I115" s="1" t="s">
        <v>45</v>
      </c>
      <c r="J115" s="1" t="s">
        <v>34</v>
      </c>
      <c r="K115" s="1">
        <v>7.5</v>
      </c>
      <c r="L115" s="8">
        <f>PI()*(Tabella2[[#This Row],[Diameter (mm)]]/2)^2</f>
        <v>44.178646691106465</v>
      </c>
      <c r="M115" s="8">
        <f>(PI()*Tabella2[[#This Row],[Diameter (mm)]]^4)/32</f>
        <v>310.63110954684231</v>
      </c>
      <c r="N115" s="1" t="s">
        <v>35</v>
      </c>
      <c r="O115" s="1" t="s">
        <v>35</v>
      </c>
      <c r="P115" s="1" t="s">
        <v>35</v>
      </c>
      <c r="Q115" s="1">
        <v>-1</v>
      </c>
      <c r="R115" s="1" t="s">
        <v>35</v>
      </c>
      <c r="S1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5" s="1" t="s">
        <v>35</v>
      </c>
      <c r="U11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5" s="13">
        <v>495</v>
      </c>
      <c r="W11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5" s="1" t="s">
        <v>35</v>
      </c>
      <c r="Y115" s="7" t="str">
        <f>Tabella2[[#This Row],[Mean RADIAL stress  (MPa)]]</f>
        <v>Null</v>
      </c>
      <c r="Z115" s="7" t="str">
        <f>Tabella2[[#This Row],[Amplitute RADIAL stress  (MPa)]]</f>
        <v>Null</v>
      </c>
      <c r="AA1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5" s="8">
        <f>IF( AND(ISNUMBER(Tabella2[[#This Row],[Mean AXIAL stress  (MPa)]]), ISNUMBER(Tabella2[[#This Row],[Area (mm^2)]])), Tabella2[[#This Row],[Mean AXIAL stress  (MPa)]]*Tabella2[[#This Row],[Area (mm^2)]], "Null")</f>
        <v>0</v>
      </c>
      <c r="AC115" s="8">
        <f>IF( AND(ISNUMBER(Tabella2[[#This Row],[Amplitute AXIAL stress  (MPa)]]), ISNUMBER(Tabella2[[#This Row],[Area (mm^2)]])), Tabella2[[#This Row],[Amplitute AXIAL stress  (MPa)]]*Tabella2[[#This Row],[Area (mm^2)]],"Null")</f>
        <v>21868.4301120977</v>
      </c>
      <c r="AD115" s="8">
        <f>IF( AND(ISNUMBER(Tabella2[[#This Row],[Amplitude AXIAL force (N)]]), ISNUMBER(Tabella2[[#This Row],[Mean AXIAL force (N)]])), Tabella2[[#This Row],[Amplitude AXIAL force (N)]]+Tabella2[[#This Row],[Mean AXIAL force (N)]],"Null")</f>
        <v>21868.4301120977</v>
      </c>
      <c r="AE11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495</v>
      </c>
      <c r="AI1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6" spans="1:35" x14ac:dyDescent="0.25">
      <c r="A116" s="1" t="s">
        <v>156</v>
      </c>
      <c r="B116" s="1">
        <v>2013</v>
      </c>
      <c r="C116" s="1" t="s">
        <v>174</v>
      </c>
      <c r="D116" s="1" t="s">
        <v>180</v>
      </c>
      <c r="E116" s="1">
        <v>269178</v>
      </c>
      <c r="F116" s="1" t="s">
        <v>34</v>
      </c>
      <c r="G116" s="1" t="s">
        <v>43</v>
      </c>
      <c r="H116" s="1" t="e" vm="6">
        <v>#VALUE!</v>
      </c>
      <c r="I116" s="1" t="s">
        <v>45</v>
      </c>
      <c r="J116" s="1" t="s">
        <v>34</v>
      </c>
      <c r="K116" s="1">
        <v>7.5</v>
      </c>
      <c r="L116" s="8">
        <f>PI()*(Tabella2[[#This Row],[Diameter (mm)]]/2)^2</f>
        <v>44.178646691106465</v>
      </c>
      <c r="M116" s="8">
        <f>(PI()*Tabella2[[#This Row],[Diameter (mm)]]^4)/32</f>
        <v>310.63110954684231</v>
      </c>
      <c r="N116" s="1" t="s">
        <v>35</v>
      </c>
      <c r="O116" s="1" t="s">
        <v>35</v>
      </c>
      <c r="P116" s="1" t="s">
        <v>35</v>
      </c>
      <c r="Q116" s="1">
        <v>-1</v>
      </c>
      <c r="R116" s="1" t="s">
        <v>35</v>
      </c>
      <c r="S1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6" s="1" t="s">
        <v>35</v>
      </c>
      <c r="U11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6" s="13">
        <v>485</v>
      </c>
      <c r="W11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6" s="1" t="s">
        <v>35</v>
      </c>
      <c r="Y116" s="7" t="str">
        <f>Tabella2[[#This Row],[Mean RADIAL stress  (MPa)]]</f>
        <v>Null</v>
      </c>
      <c r="Z116" s="7" t="str">
        <f>Tabella2[[#This Row],[Amplitute RADIAL stress  (MPa)]]</f>
        <v>Null</v>
      </c>
      <c r="AA1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6" s="8">
        <f>IF( AND(ISNUMBER(Tabella2[[#This Row],[Mean AXIAL stress  (MPa)]]), ISNUMBER(Tabella2[[#This Row],[Area (mm^2)]])), Tabella2[[#This Row],[Mean AXIAL stress  (MPa)]]*Tabella2[[#This Row],[Area (mm^2)]], "Null")</f>
        <v>0</v>
      </c>
      <c r="AC116" s="8">
        <f>IF( AND(ISNUMBER(Tabella2[[#This Row],[Amplitute AXIAL stress  (MPa)]]), ISNUMBER(Tabella2[[#This Row],[Area (mm^2)]])), Tabella2[[#This Row],[Amplitute AXIAL stress  (MPa)]]*Tabella2[[#This Row],[Area (mm^2)]],"Null")</f>
        <v>21426.643645186636</v>
      </c>
      <c r="AD116" s="8">
        <f>IF( AND(ISNUMBER(Tabella2[[#This Row],[Amplitude AXIAL force (N)]]), ISNUMBER(Tabella2[[#This Row],[Mean AXIAL force (N)]])), Tabella2[[#This Row],[Amplitude AXIAL force (N)]]+Tabella2[[#This Row],[Mean AXIAL force (N)]],"Null")</f>
        <v>21426.643645186636</v>
      </c>
      <c r="AE11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485</v>
      </c>
      <c r="AI1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7" spans="1:35" x14ac:dyDescent="0.25">
      <c r="A117" s="1" t="s">
        <v>156</v>
      </c>
      <c r="B117" s="1">
        <v>2013</v>
      </c>
      <c r="C117" s="1" t="s">
        <v>174</v>
      </c>
      <c r="D117" s="1" t="s">
        <v>181</v>
      </c>
      <c r="E117" s="1">
        <v>1000000</v>
      </c>
      <c r="F117" s="1" t="s">
        <v>64</v>
      </c>
      <c r="G117" s="1" t="s">
        <v>43</v>
      </c>
      <c r="H117" s="1" t="e" vm="6">
        <v>#VALUE!</v>
      </c>
      <c r="I117" s="1" t="s">
        <v>45</v>
      </c>
      <c r="J117" s="1" t="s">
        <v>34</v>
      </c>
      <c r="K117" s="1">
        <v>7.5</v>
      </c>
      <c r="L117" s="8">
        <f>PI()*(Tabella2[[#This Row],[Diameter (mm)]]/2)^2</f>
        <v>44.178646691106465</v>
      </c>
      <c r="M117" s="8">
        <f>(PI()*Tabella2[[#This Row],[Diameter (mm)]]^4)/32</f>
        <v>310.63110954684231</v>
      </c>
      <c r="N117" s="1" t="s">
        <v>35</v>
      </c>
      <c r="O117" s="1" t="s">
        <v>35</v>
      </c>
      <c r="P117" s="1" t="s">
        <v>35</v>
      </c>
      <c r="Q117" s="1">
        <v>-1</v>
      </c>
      <c r="R117" s="1" t="s">
        <v>35</v>
      </c>
      <c r="S1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7" s="1" t="s">
        <v>35</v>
      </c>
      <c r="U11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7" s="13">
        <v>480</v>
      </c>
      <c r="W11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7" s="1" t="s">
        <v>35</v>
      </c>
      <c r="Y117" s="7" t="str">
        <f>Tabella2[[#This Row],[Mean RADIAL stress  (MPa)]]</f>
        <v>Null</v>
      </c>
      <c r="Z117" s="7" t="str">
        <f>Tabella2[[#This Row],[Amplitute RADIAL stress  (MPa)]]</f>
        <v>Null</v>
      </c>
      <c r="AA1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7" s="8">
        <f>IF( AND(ISNUMBER(Tabella2[[#This Row],[Mean AXIAL stress  (MPa)]]), ISNUMBER(Tabella2[[#This Row],[Area (mm^2)]])), Tabella2[[#This Row],[Mean AXIAL stress  (MPa)]]*Tabella2[[#This Row],[Area (mm^2)]], "Null")</f>
        <v>0</v>
      </c>
      <c r="AC117" s="8">
        <f>IF( AND(ISNUMBER(Tabella2[[#This Row],[Amplitute AXIAL stress  (MPa)]]), ISNUMBER(Tabella2[[#This Row],[Area (mm^2)]])), Tabella2[[#This Row],[Amplitute AXIAL stress  (MPa)]]*Tabella2[[#This Row],[Area (mm^2)]],"Null")</f>
        <v>21205.750411731104</v>
      </c>
      <c r="AD117" s="8">
        <f>IF( AND(ISNUMBER(Tabella2[[#This Row],[Amplitude AXIAL force (N)]]), ISNUMBER(Tabella2[[#This Row],[Mean AXIAL force (N)]])), Tabella2[[#This Row],[Amplitude AXIAL force (N)]]+Tabella2[[#This Row],[Mean AXIAL force (N)]],"Null")</f>
        <v>21205.750411731104</v>
      </c>
      <c r="AE11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480</v>
      </c>
      <c r="AI1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8" spans="1:35" x14ac:dyDescent="0.25">
      <c r="A118" s="1" t="s">
        <v>156</v>
      </c>
      <c r="B118" s="1">
        <v>2013</v>
      </c>
      <c r="C118" s="1" t="s">
        <v>174</v>
      </c>
      <c r="D118" s="1" t="s">
        <v>182</v>
      </c>
      <c r="E118" s="14">
        <v>2088</v>
      </c>
      <c r="F118" s="1" t="s">
        <v>34</v>
      </c>
      <c r="G118" s="1" t="s">
        <v>43</v>
      </c>
      <c r="H118" s="1" t="e" vm="6">
        <v>#VALUE!</v>
      </c>
      <c r="I118" s="1" t="s">
        <v>45</v>
      </c>
      <c r="J118" s="1" t="s">
        <v>34</v>
      </c>
      <c r="K118" s="1">
        <v>7.5</v>
      </c>
      <c r="L118" s="8">
        <f>PI()*(Tabella2[[#This Row],[Diameter (mm)]]/2)^2</f>
        <v>44.178646691106465</v>
      </c>
      <c r="M118" s="8">
        <f>(PI()*Tabella2[[#This Row],[Diameter (mm)]]^4)/32</f>
        <v>310.63110954684231</v>
      </c>
      <c r="N118" s="1" t="s">
        <v>35</v>
      </c>
      <c r="O118" s="1" t="s">
        <v>35</v>
      </c>
      <c r="P118" s="1" t="s">
        <v>35</v>
      </c>
      <c r="Q118" s="1" t="s">
        <v>35</v>
      </c>
      <c r="R118" s="1">
        <v>-1</v>
      </c>
      <c r="S1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8" s="1" t="s">
        <v>35</v>
      </c>
      <c r="U11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8" s="1" t="s">
        <v>35</v>
      </c>
      <c r="W11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8" s="13">
        <v>546</v>
      </c>
      <c r="Y118" s="7" t="str">
        <f>Tabella2[[#This Row],[Mean RADIAL stress  (MPa)]]</f>
        <v>Null</v>
      </c>
      <c r="Z118" s="7" t="str">
        <f>Tabella2[[#This Row],[Amplitute RADIAL stress  (MPa)]]</f>
        <v>Null</v>
      </c>
      <c r="AA1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45227.889550020242</v>
      </c>
      <c r="AG118" s="1">
        <f>IF(
   AND(ISNUMBER(Tabella2[[#This Row],[Mean TORQUE (Nmm)]]), ISNUMBER(Tabella2[[#This Row],[Amplitude TORQUE (Nmm)]])),
   Tabella2[[#This Row],[Mean TORQUE (Nmm)]]+Tabella2[[#This Row],[Amplitude TORQUE (Nmm)]],
   "Null"
)</f>
        <v>45227.889550020242</v>
      </c>
      <c r="AH1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945.69974093260703</v>
      </c>
      <c r="AI11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9" spans="1:35" x14ac:dyDescent="0.25">
      <c r="A119" s="1" t="s">
        <v>156</v>
      </c>
      <c r="B119" s="1">
        <v>2013</v>
      </c>
      <c r="C119" s="1" t="s">
        <v>174</v>
      </c>
      <c r="D119" s="1" t="s">
        <v>183</v>
      </c>
      <c r="E119" s="14">
        <v>11302</v>
      </c>
      <c r="F119" s="1" t="s">
        <v>34</v>
      </c>
      <c r="G119" s="1" t="s">
        <v>43</v>
      </c>
      <c r="H119" s="1" t="e" vm="6">
        <v>#VALUE!</v>
      </c>
      <c r="I119" s="1" t="s">
        <v>45</v>
      </c>
      <c r="J119" s="1" t="s">
        <v>34</v>
      </c>
      <c r="K119" s="1">
        <v>7.5</v>
      </c>
      <c r="L119" s="8">
        <f>PI()*(Tabella2[[#This Row],[Diameter (mm)]]/2)^2</f>
        <v>44.178646691106465</v>
      </c>
      <c r="M119" s="8">
        <f>(PI()*Tabella2[[#This Row],[Diameter (mm)]]^4)/32</f>
        <v>310.63110954684231</v>
      </c>
      <c r="N119" s="1" t="s">
        <v>35</v>
      </c>
      <c r="O119" s="1" t="s">
        <v>35</v>
      </c>
      <c r="P119" s="1" t="s">
        <v>35</v>
      </c>
      <c r="Q119" s="1" t="s">
        <v>35</v>
      </c>
      <c r="R119" s="1">
        <v>-1</v>
      </c>
      <c r="S1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9" s="1" t="s">
        <v>35</v>
      </c>
      <c r="U11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9" s="1" t="s">
        <v>35</v>
      </c>
      <c r="W11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9" s="13">
        <v>484</v>
      </c>
      <c r="Y119" s="7" t="str">
        <f>Tabella2[[#This Row],[Mean RADIAL stress  (MPa)]]</f>
        <v>Null</v>
      </c>
      <c r="Z119" s="7" t="str">
        <f>Tabella2[[#This Row],[Amplitute RADIAL stress  (MPa)]]</f>
        <v>Null</v>
      </c>
      <c r="AA1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40092.121872179116</v>
      </c>
      <c r="AG119" s="1">
        <f>IF(
   AND(ISNUMBER(Tabella2[[#This Row],[Mean TORQUE (Nmm)]]), ISNUMBER(Tabella2[[#This Row],[Amplitude TORQUE (Nmm)]])),
   Tabella2[[#This Row],[Mean TORQUE (Nmm)]]+Tabella2[[#This Row],[Amplitude TORQUE (Nmm)]],
   "Null"
)</f>
        <v>40092.121872179116</v>
      </c>
      <c r="AH1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838.3125908633366</v>
      </c>
      <c r="AI11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20" spans="1:35" x14ac:dyDescent="0.25">
      <c r="A120" s="1" t="s">
        <v>156</v>
      </c>
      <c r="B120" s="1">
        <v>2013</v>
      </c>
      <c r="C120" s="1" t="s">
        <v>174</v>
      </c>
      <c r="D120" s="1" t="s">
        <v>184</v>
      </c>
      <c r="E120" s="14">
        <v>70610</v>
      </c>
      <c r="F120" s="1" t="s">
        <v>34</v>
      </c>
      <c r="G120" s="1" t="s">
        <v>43</v>
      </c>
      <c r="H120" s="1" t="e" vm="6">
        <v>#VALUE!</v>
      </c>
      <c r="I120" s="1" t="s">
        <v>45</v>
      </c>
      <c r="J120" s="1" t="s">
        <v>34</v>
      </c>
      <c r="K120" s="1">
        <v>7.5</v>
      </c>
      <c r="L120" s="8">
        <f>PI()*(Tabella2[[#This Row],[Diameter (mm)]]/2)^2</f>
        <v>44.178646691106465</v>
      </c>
      <c r="M120" s="8">
        <f>(PI()*Tabella2[[#This Row],[Diameter (mm)]]^4)/32</f>
        <v>310.63110954684231</v>
      </c>
      <c r="N120" s="1" t="s">
        <v>35</v>
      </c>
      <c r="O120" s="1" t="s">
        <v>35</v>
      </c>
      <c r="P120" s="1" t="s">
        <v>35</v>
      </c>
      <c r="Q120" s="1" t="s">
        <v>35</v>
      </c>
      <c r="R120" s="1">
        <v>-1</v>
      </c>
      <c r="S1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0" s="1" t="s">
        <v>35</v>
      </c>
      <c r="U12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0" s="1" t="s">
        <v>35</v>
      </c>
      <c r="W12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0" s="13">
        <v>440</v>
      </c>
      <c r="Y120" s="7" t="str">
        <f>Tabella2[[#This Row],[Mean RADIAL stress  (MPa)]]</f>
        <v>Null</v>
      </c>
      <c r="Z120" s="7" t="str">
        <f>Tabella2[[#This Row],[Amplitute RADIAL stress  (MPa)]]</f>
        <v>Null</v>
      </c>
      <c r="AA1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36447.383520162824</v>
      </c>
      <c r="AG120" s="1">
        <f>IF(
   AND(ISNUMBER(Tabella2[[#This Row],[Mean TORQUE (Nmm)]]), ISNUMBER(Tabella2[[#This Row],[Amplitude TORQUE (Nmm)]])),
   Tabella2[[#This Row],[Mean TORQUE (Nmm)]]+Tabella2[[#This Row],[Amplitude TORQUE (Nmm)]],
   "Null"
)</f>
        <v>36447.383520162824</v>
      </c>
      <c r="AH1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762.10235533030595</v>
      </c>
      <c r="AI12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21" spans="1:35" x14ac:dyDescent="0.25">
      <c r="A121" s="1" t="s">
        <v>156</v>
      </c>
      <c r="B121" s="1">
        <v>2013</v>
      </c>
      <c r="C121" s="1" t="s">
        <v>174</v>
      </c>
      <c r="D121" s="1" t="s">
        <v>185</v>
      </c>
      <c r="E121" s="14">
        <v>159854</v>
      </c>
      <c r="F121" s="1" t="s">
        <v>34</v>
      </c>
      <c r="G121" s="1" t="s">
        <v>43</v>
      </c>
      <c r="H121" s="1" t="e" vm="6">
        <v>#VALUE!</v>
      </c>
      <c r="I121" s="1" t="s">
        <v>45</v>
      </c>
      <c r="J121" s="1" t="s">
        <v>34</v>
      </c>
      <c r="K121" s="1">
        <v>7.5</v>
      </c>
      <c r="L121" s="8">
        <f>PI()*(Tabella2[[#This Row],[Diameter (mm)]]/2)^2</f>
        <v>44.178646691106465</v>
      </c>
      <c r="M121" s="8">
        <f>(PI()*Tabella2[[#This Row],[Diameter (mm)]]^4)/32</f>
        <v>310.63110954684231</v>
      </c>
      <c r="N121" s="1" t="s">
        <v>35</v>
      </c>
      <c r="O121" s="1" t="s">
        <v>35</v>
      </c>
      <c r="P121" s="1" t="s">
        <v>35</v>
      </c>
      <c r="Q121" s="1" t="s">
        <v>35</v>
      </c>
      <c r="R121" s="1">
        <v>-1</v>
      </c>
      <c r="S1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1" s="1" t="s">
        <v>35</v>
      </c>
      <c r="U12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1" s="1" t="s">
        <v>35</v>
      </c>
      <c r="W12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1" s="13">
        <v>402</v>
      </c>
      <c r="Y121" s="7" t="str">
        <f>Tabella2[[#This Row],[Mean RADIAL stress  (MPa)]]</f>
        <v>Null</v>
      </c>
      <c r="Z121" s="7" t="str">
        <f>Tabella2[[#This Row],[Amplitute RADIAL stress  (MPa)]]</f>
        <v>Null</v>
      </c>
      <c r="AA1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33299.654943421498</v>
      </c>
      <c r="AG121" s="1">
        <f>IF(
   AND(ISNUMBER(Tabella2[[#This Row],[Mean TORQUE (Nmm)]]), ISNUMBER(Tabella2[[#This Row],[Amplitude TORQUE (Nmm)]])),
   Tabella2[[#This Row],[Mean TORQUE (Nmm)]]+Tabella2[[#This Row],[Amplitude TORQUE (Nmm)]],
   "Null"
)</f>
        <v>33299.654943421498</v>
      </c>
      <c r="AH1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696.28442464268869</v>
      </c>
      <c r="AI12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22" spans="1:35" x14ac:dyDescent="0.25">
      <c r="A122" s="1" t="s">
        <v>156</v>
      </c>
      <c r="B122" s="1">
        <v>2013</v>
      </c>
      <c r="C122" s="1" t="s">
        <v>174</v>
      </c>
      <c r="D122" s="1" t="s">
        <v>186</v>
      </c>
      <c r="E122" s="14">
        <v>315668</v>
      </c>
      <c r="F122" s="1" t="s">
        <v>34</v>
      </c>
      <c r="G122" s="1" t="s">
        <v>43</v>
      </c>
      <c r="H122" s="1" t="e" vm="6">
        <v>#VALUE!</v>
      </c>
      <c r="I122" s="1" t="s">
        <v>45</v>
      </c>
      <c r="J122" s="1" t="s">
        <v>34</v>
      </c>
      <c r="K122" s="1">
        <v>7.5</v>
      </c>
      <c r="L122" s="8">
        <f>PI()*(Tabella2[[#This Row],[Diameter (mm)]]/2)^2</f>
        <v>44.178646691106465</v>
      </c>
      <c r="M122" s="8">
        <f>(PI()*Tabella2[[#This Row],[Diameter (mm)]]^4)/32</f>
        <v>310.63110954684231</v>
      </c>
      <c r="N122" s="1" t="s">
        <v>35</v>
      </c>
      <c r="O122" s="1" t="s">
        <v>35</v>
      </c>
      <c r="P122" s="1" t="s">
        <v>35</v>
      </c>
      <c r="Q122" s="1" t="s">
        <v>35</v>
      </c>
      <c r="R122" s="1">
        <v>-1</v>
      </c>
      <c r="S1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2" s="1" t="s">
        <v>35</v>
      </c>
      <c r="U12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2" s="1" t="s">
        <v>35</v>
      </c>
      <c r="W12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2" s="13">
        <v>395</v>
      </c>
      <c r="Y122" s="7" t="str">
        <f>Tabella2[[#This Row],[Mean RADIAL stress  (MPa)]]</f>
        <v>Null</v>
      </c>
      <c r="Z122" s="7" t="str">
        <f>Tabella2[[#This Row],[Amplitute RADIAL stress  (MPa)]]</f>
        <v>Null</v>
      </c>
      <c r="AA1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32719.810205600726</v>
      </c>
      <c r="AG122" s="1">
        <f>IF(
   AND(ISNUMBER(Tabella2[[#This Row],[Mean TORQUE (Nmm)]]), ISNUMBER(Tabella2[[#This Row],[Amplitude TORQUE (Nmm)]])),
   Tabella2[[#This Row],[Mean TORQUE (Nmm)]]+Tabella2[[#This Row],[Amplitude TORQUE (Nmm)]],
   "Null"
)</f>
        <v>32719.810205600726</v>
      </c>
      <c r="AH1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684.16006898970659</v>
      </c>
      <c r="AI12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23" spans="1:35" x14ac:dyDescent="0.25">
      <c r="A123" s="1" t="s">
        <v>156</v>
      </c>
      <c r="B123" s="1">
        <v>2013</v>
      </c>
      <c r="C123" s="1" t="s">
        <v>174</v>
      </c>
      <c r="D123" s="1" t="s">
        <v>187</v>
      </c>
      <c r="E123" s="14">
        <v>1000000</v>
      </c>
      <c r="F123" s="1" t="s">
        <v>64</v>
      </c>
      <c r="G123" s="1" t="s">
        <v>43</v>
      </c>
      <c r="H123" s="1" t="e" vm="6">
        <v>#VALUE!</v>
      </c>
      <c r="I123" s="1" t="s">
        <v>45</v>
      </c>
      <c r="J123" s="1" t="s">
        <v>34</v>
      </c>
      <c r="K123" s="1">
        <v>7.5</v>
      </c>
      <c r="L123" s="8">
        <f>PI()*(Tabella2[[#This Row],[Diameter (mm)]]/2)^2</f>
        <v>44.178646691106465</v>
      </c>
      <c r="M123" s="8">
        <f>(PI()*Tabella2[[#This Row],[Diameter (mm)]]^4)/32</f>
        <v>310.63110954684231</v>
      </c>
      <c r="N123" s="1" t="s">
        <v>35</v>
      </c>
      <c r="O123" s="1" t="s">
        <v>35</v>
      </c>
      <c r="P123" s="1" t="s">
        <v>35</v>
      </c>
      <c r="Q123" s="1" t="s">
        <v>35</v>
      </c>
      <c r="R123" s="1">
        <v>-1</v>
      </c>
      <c r="S1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3" s="1" t="s">
        <v>35</v>
      </c>
      <c r="U12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3" s="1" t="s">
        <v>35</v>
      </c>
      <c r="W12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3" s="13">
        <v>391</v>
      </c>
      <c r="Y123" s="7" t="str">
        <f>Tabella2[[#This Row],[Mean RADIAL stress  (MPa)]]</f>
        <v>Null</v>
      </c>
      <c r="Z123" s="7" t="str">
        <f>Tabella2[[#This Row],[Amplitute RADIAL stress  (MPa)]]</f>
        <v>Null</v>
      </c>
      <c r="AA1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32388.470355417423</v>
      </c>
      <c r="AG123" s="1">
        <f>IF(
   AND(ISNUMBER(Tabella2[[#This Row],[Mean TORQUE (Nmm)]]), ISNUMBER(Tabella2[[#This Row],[Amplitude TORQUE (Nmm)]])),
   Tabella2[[#This Row],[Mean TORQUE (Nmm)]]+Tabella2[[#This Row],[Amplitude TORQUE (Nmm)]],
   "Null"
)</f>
        <v>32388.470355417423</v>
      </c>
      <c r="AH1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677.231865759431</v>
      </c>
      <c r="AI12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60" ht="13.15" customHeight="1" x14ac:dyDescent="0.25"/>
    <row r="169" ht="13.9" customHeight="1" x14ac:dyDescent="0.25"/>
  </sheetData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Andrea Chiocca</cp:lastModifiedBy>
  <dcterms:created xsi:type="dcterms:W3CDTF">2015-06-05T18:19:34Z</dcterms:created>
  <dcterms:modified xsi:type="dcterms:W3CDTF">2026-02-23T11:58:10Z</dcterms:modified>
</cp:coreProperties>
</file>