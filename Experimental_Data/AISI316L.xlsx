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0268_unipi_it/Documents/FABER/_WG_4_3/Visiting_Aarhus/v6_2/Experimental_Data/"/>
    </mc:Choice>
  </mc:AlternateContent>
  <xr:revisionPtr revIDLastSave="1376" documentId="13_ncr:1_{B6241A85-8AF5-4DA4-A18C-73AB2898B46A}" xr6:coauthVersionLast="47" xr6:coauthVersionMax="47" xr10:uidLastSave="{369A8849-8C8A-4191-993F-9F2B8E352ACE}"/>
  <bookViews>
    <workbookView xWindow="-120" yWindow="-120" windowWidth="29040" windowHeight="15720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P3" i="1"/>
  <c r="Q3" i="1"/>
  <c r="R3" i="1"/>
  <c r="N4" i="1"/>
  <c r="O4" i="1"/>
  <c r="P4" i="1"/>
  <c r="Q4" i="1"/>
  <c r="R4" i="1"/>
  <c r="M3" i="1" l="1"/>
  <c r="L3" i="1"/>
  <c r="L4" i="1"/>
  <c r="M4" i="1"/>
  <c r="C25" i="1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L87" i="2"/>
  <c r="L86" i="2"/>
  <c r="L85" i="2"/>
  <c r="L84" i="2"/>
  <c r="L83" i="2"/>
  <c r="AC83" i="2" s="1"/>
  <c r="L82" i="2"/>
  <c r="AC82" i="2" s="1"/>
  <c r="L81" i="2"/>
  <c r="AC81" i="2" s="1"/>
  <c r="L80" i="2"/>
  <c r="AC80" i="2" s="1"/>
  <c r="L79" i="2"/>
  <c r="AC79" i="2" s="1"/>
  <c r="L78" i="2"/>
  <c r="L77" i="2"/>
  <c r="L76" i="2"/>
  <c r="L75" i="2"/>
  <c r="AC75" i="2" s="1"/>
  <c r="L74" i="2"/>
  <c r="AC74" i="2" s="1"/>
  <c r="L73" i="2"/>
  <c r="AC73" i="2" s="1"/>
  <c r="L72" i="2"/>
  <c r="AC72" i="2" s="1"/>
  <c r="L71" i="2"/>
  <c r="L70" i="2"/>
  <c r="L69" i="2"/>
  <c r="L68" i="2"/>
  <c r="L67" i="2"/>
  <c r="AC67" i="2" s="1"/>
  <c r="L66" i="2"/>
  <c r="AC66" i="2" s="1"/>
  <c r="L65" i="2"/>
  <c r="AC65" i="2" s="1"/>
  <c r="L64" i="2"/>
  <c r="AC64" i="2" s="1"/>
  <c r="L63" i="2"/>
  <c r="L62" i="2"/>
  <c r="L61" i="2"/>
  <c r="L60" i="2"/>
  <c r="L59" i="2"/>
  <c r="AC59" i="2" s="1"/>
  <c r="L58" i="2"/>
  <c r="AC58" i="2" s="1"/>
  <c r="L57" i="2"/>
  <c r="AC57" i="2" s="1"/>
  <c r="L56" i="2"/>
  <c r="AC56" i="2" s="1"/>
  <c r="L55" i="2"/>
  <c r="L54" i="2"/>
  <c r="L53" i="2"/>
  <c r="L52" i="2"/>
  <c r="L51" i="2"/>
  <c r="AC51" i="2" s="1"/>
  <c r="U44" i="2"/>
  <c r="AI43" i="2"/>
  <c r="U36" i="2"/>
  <c r="AI35" i="2"/>
  <c r="L50" i="2"/>
  <c r="L49" i="2"/>
  <c r="L48" i="2"/>
  <c r="L47" i="2"/>
  <c r="AC47" i="2" s="1"/>
  <c r="L46" i="2"/>
  <c r="L45" i="2"/>
  <c r="AC45" i="2" s="1"/>
  <c r="L44" i="2"/>
  <c r="L43" i="2"/>
  <c r="L42" i="2"/>
  <c r="L41" i="2"/>
  <c r="L40" i="2"/>
  <c r="L39" i="2"/>
  <c r="AC39" i="2" s="1"/>
  <c r="L38" i="2"/>
  <c r="AC38" i="2" s="1"/>
  <c r="L37" i="2"/>
  <c r="AC37" i="2" s="1"/>
  <c r="L36" i="2"/>
  <c r="L35" i="2"/>
  <c r="L34" i="2"/>
  <c r="L33" i="2"/>
  <c r="L32" i="2"/>
  <c r="L31" i="2"/>
  <c r="L30" i="2"/>
  <c r="AC30" i="2" s="1"/>
  <c r="L29" i="2"/>
  <c r="AC29" i="2" s="1"/>
  <c r="M28" i="2"/>
  <c r="L28" i="2"/>
  <c r="M27" i="2"/>
  <c r="L27" i="2"/>
  <c r="M26" i="2"/>
  <c r="L26" i="2"/>
  <c r="AC26" i="2" s="1"/>
  <c r="M25" i="2"/>
  <c r="AF25" i="2" s="1"/>
  <c r="L25" i="2"/>
  <c r="AC25" i="2" s="1"/>
  <c r="M24" i="2"/>
  <c r="AF24" i="2" s="1"/>
  <c r="L24" i="2"/>
  <c r="M23" i="2"/>
  <c r="L23" i="2"/>
  <c r="M22" i="2"/>
  <c r="L22" i="2"/>
  <c r="AC22" i="2" s="1"/>
  <c r="M21" i="2"/>
  <c r="AF21" i="2" s="1"/>
  <c r="L21" i="2"/>
  <c r="AC21" i="2" s="1"/>
  <c r="M20" i="2"/>
  <c r="AF20" i="2" s="1"/>
  <c r="L20" i="2"/>
  <c r="M19" i="2"/>
  <c r="L19" i="2"/>
  <c r="M18" i="2"/>
  <c r="L18" i="2"/>
  <c r="AC18" i="2" s="1"/>
  <c r="AF17" i="2"/>
  <c r="AF18" i="2"/>
  <c r="AF19" i="2"/>
  <c r="AF22" i="2"/>
  <c r="AF23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M17" i="2"/>
  <c r="L17" i="2"/>
  <c r="M16" i="2"/>
  <c r="AF16" i="2" s="1"/>
  <c r="L16" i="2"/>
  <c r="AC16" i="2" s="1"/>
  <c r="M15" i="2"/>
  <c r="AF15" i="2" s="1"/>
  <c r="L15" i="2"/>
  <c r="AC15" i="2" s="1"/>
  <c r="M14" i="2"/>
  <c r="AF14" i="2" s="1"/>
  <c r="L14" i="2"/>
  <c r="AC14" i="2" s="1"/>
  <c r="M13" i="2"/>
  <c r="AF13" i="2" s="1"/>
  <c r="L13" i="2"/>
  <c r="M12" i="2"/>
  <c r="AF12" i="2" s="1"/>
  <c r="L12" i="2"/>
  <c r="AC12" i="2" s="1"/>
  <c r="M11" i="2"/>
  <c r="AF11" i="2" s="1"/>
  <c r="L11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7" i="2"/>
  <c r="AI38" i="2"/>
  <c r="AI39" i="2"/>
  <c r="AI40" i="2"/>
  <c r="AI41" i="2"/>
  <c r="AI42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C11" i="2"/>
  <c r="AC13" i="2"/>
  <c r="AC17" i="2"/>
  <c r="AC19" i="2"/>
  <c r="AC20" i="2"/>
  <c r="AC23" i="2"/>
  <c r="AC24" i="2"/>
  <c r="AC27" i="2"/>
  <c r="AC28" i="2"/>
  <c r="AC31" i="2"/>
  <c r="AC32" i="2"/>
  <c r="AC33" i="2"/>
  <c r="AC34" i="2"/>
  <c r="AC40" i="2"/>
  <c r="AC41" i="2"/>
  <c r="AC42" i="2"/>
  <c r="AC46" i="2"/>
  <c r="AC48" i="2"/>
  <c r="AC49" i="2"/>
  <c r="AC50" i="2"/>
  <c r="AC52" i="2"/>
  <c r="AC53" i="2"/>
  <c r="AC54" i="2"/>
  <c r="AC55" i="2"/>
  <c r="AC60" i="2"/>
  <c r="AC61" i="2"/>
  <c r="AC62" i="2"/>
  <c r="AC63" i="2"/>
  <c r="AC68" i="2"/>
  <c r="AC69" i="2"/>
  <c r="AC70" i="2"/>
  <c r="AC71" i="2"/>
  <c r="AC76" i="2"/>
  <c r="AC77" i="2"/>
  <c r="AC78" i="2"/>
  <c r="AC84" i="2"/>
  <c r="AC85" i="2"/>
  <c r="AC86" i="2"/>
  <c r="AC87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W5" i="2"/>
  <c r="W6" i="2"/>
  <c r="W7" i="2"/>
  <c r="W8" i="2"/>
  <c r="W9" i="2"/>
  <c r="W10" i="2"/>
  <c r="W11" i="2"/>
  <c r="AE11" i="2" s="1"/>
  <c r="W12" i="2"/>
  <c r="AE12" i="2" s="1"/>
  <c r="W13" i="2"/>
  <c r="AE13" i="2" s="1"/>
  <c r="W14" i="2"/>
  <c r="AE14" i="2" s="1"/>
  <c r="W15" i="2"/>
  <c r="W16" i="2"/>
  <c r="AE16" i="2" s="1"/>
  <c r="W17" i="2"/>
  <c r="AE17" i="2" s="1"/>
  <c r="W18" i="2"/>
  <c r="AE18" i="2" s="1"/>
  <c r="W19" i="2"/>
  <c r="AE19" i="2" s="1"/>
  <c r="W20" i="2"/>
  <c r="AE20" i="2" s="1"/>
  <c r="W21" i="2"/>
  <c r="W22" i="2"/>
  <c r="AE22" i="2" s="1"/>
  <c r="W23" i="2"/>
  <c r="AE23" i="2" s="1"/>
  <c r="AG23" i="2" s="1"/>
  <c r="W24" i="2"/>
  <c r="AE24" i="2" s="1"/>
  <c r="W25" i="2"/>
  <c r="W26" i="2"/>
  <c r="AE26" i="2" s="1"/>
  <c r="W27" i="2"/>
  <c r="AE27" i="2" s="1"/>
  <c r="W28" i="2"/>
  <c r="AE28" i="2" s="1"/>
  <c r="W29" i="2"/>
  <c r="AE29" i="2" s="1"/>
  <c r="W30" i="2"/>
  <c r="AE30" i="2" s="1"/>
  <c r="AG30" i="2" s="1"/>
  <c r="W31" i="2"/>
  <c r="AE31" i="2" s="1"/>
  <c r="W32" i="2"/>
  <c r="AE32" i="2" s="1"/>
  <c r="W33" i="2"/>
  <c r="AE33" i="2" s="1"/>
  <c r="AG33" i="2" s="1"/>
  <c r="W34" i="2"/>
  <c r="AE34" i="2" s="1"/>
  <c r="W35" i="2"/>
  <c r="AE35" i="2" s="1"/>
  <c r="W36" i="2"/>
  <c r="AE36" i="2" s="1"/>
  <c r="W37" i="2"/>
  <c r="AE37" i="2" s="1"/>
  <c r="W38" i="2"/>
  <c r="AE38" i="2" s="1"/>
  <c r="W39" i="2"/>
  <c r="AE39" i="2" s="1"/>
  <c r="W40" i="2"/>
  <c r="AE40" i="2" s="1"/>
  <c r="W41" i="2"/>
  <c r="AE41" i="2" s="1"/>
  <c r="AG41" i="2" s="1"/>
  <c r="W42" i="2"/>
  <c r="AE42" i="2" s="1"/>
  <c r="W43" i="2"/>
  <c r="AE43" i="2" s="1"/>
  <c r="W44" i="2"/>
  <c r="AE44" i="2" s="1"/>
  <c r="W45" i="2"/>
  <c r="AE45" i="2" s="1"/>
  <c r="W46" i="2"/>
  <c r="AE46" i="2" s="1"/>
  <c r="AG46" i="2" s="1"/>
  <c r="W47" i="2"/>
  <c r="AE47" i="2" s="1"/>
  <c r="AG47" i="2" s="1"/>
  <c r="W48" i="2"/>
  <c r="AE48" i="2" s="1"/>
  <c r="W49" i="2"/>
  <c r="AE49" i="2" s="1"/>
  <c r="AG49" i="2" s="1"/>
  <c r="W50" i="2"/>
  <c r="AE50" i="2" s="1"/>
  <c r="W51" i="2"/>
  <c r="AE51" i="2" s="1"/>
  <c r="W52" i="2"/>
  <c r="AE52" i="2" s="1"/>
  <c r="W53" i="2"/>
  <c r="AE53" i="2" s="1"/>
  <c r="W54" i="2"/>
  <c r="AE54" i="2" s="1"/>
  <c r="W55" i="2"/>
  <c r="AE55" i="2" s="1"/>
  <c r="W56" i="2"/>
  <c r="AE56" i="2" s="1"/>
  <c r="W57" i="2"/>
  <c r="AE57" i="2" s="1"/>
  <c r="AG57" i="2" s="1"/>
  <c r="W58" i="2"/>
  <c r="AE58" i="2" s="1"/>
  <c r="W59" i="2"/>
  <c r="AE59" i="2" s="1"/>
  <c r="W60" i="2"/>
  <c r="AE60" i="2" s="1"/>
  <c r="W61" i="2"/>
  <c r="AE61" i="2" s="1"/>
  <c r="W62" i="2"/>
  <c r="AE62" i="2" s="1"/>
  <c r="AG62" i="2" s="1"/>
  <c r="W63" i="2"/>
  <c r="AE63" i="2" s="1"/>
  <c r="AG63" i="2" s="1"/>
  <c r="W64" i="2"/>
  <c r="AE64" i="2" s="1"/>
  <c r="W65" i="2"/>
  <c r="AE65" i="2" s="1"/>
  <c r="AG65" i="2" s="1"/>
  <c r="W66" i="2"/>
  <c r="AE66" i="2" s="1"/>
  <c r="W67" i="2"/>
  <c r="AE67" i="2" s="1"/>
  <c r="W68" i="2"/>
  <c r="AE68" i="2" s="1"/>
  <c r="W69" i="2"/>
  <c r="AE69" i="2" s="1"/>
  <c r="W70" i="2"/>
  <c r="AE70" i="2" s="1"/>
  <c r="W71" i="2"/>
  <c r="AE71" i="2" s="1"/>
  <c r="W72" i="2"/>
  <c r="AE72" i="2" s="1"/>
  <c r="W73" i="2"/>
  <c r="AE73" i="2" s="1"/>
  <c r="AG73" i="2" s="1"/>
  <c r="W74" i="2"/>
  <c r="AE74" i="2" s="1"/>
  <c r="W75" i="2"/>
  <c r="AE75" i="2" s="1"/>
  <c r="W76" i="2"/>
  <c r="AE76" i="2" s="1"/>
  <c r="W77" i="2"/>
  <c r="AE77" i="2" s="1"/>
  <c r="W78" i="2"/>
  <c r="AE78" i="2" s="1"/>
  <c r="AG78" i="2" s="1"/>
  <c r="W79" i="2"/>
  <c r="AE79" i="2" s="1"/>
  <c r="AG79" i="2" s="1"/>
  <c r="W80" i="2"/>
  <c r="AE80" i="2" s="1"/>
  <c r="W81" i="2"/>
  <c r="AE81" i="2" s="1"/>
  <c r="AG81" i="2" s="1"/>
  <c r="W82" i="2"/>
  <c r="AE82" i="2" s="1"/>
  <c r="W83" i="2"/>
  <c r="AE83" i="2" s="1"/>
  <c r="W84" i="2"/>
  <c r="AE84" i="2" s="1"/>
  <c r="W85" i="2"/>
  <c r="AE85" i="2" s="1"/>
  <c r="W86" i="2"/>
  <c r="AE86" i="2" s="1"/>
  <c r="W87" i="2"/>
  <c r="AE87" i="2" s="1"/>
  <c r="U5" i="2"/>
  <c r="U6" i="2"/>
  <c r="U7" i="2"/>
  <c r="U8" i="2"/>
  <c r="U9" i="2"/>
  <c r="U10" i="2"/>
  <c r="U11" i="2"/>
  <c r="U12" i="2"/>
  <c r="U13" i="2"/>
  <c r="AB13" i="2" s="1"/>
  <c r="U14" i="2"/>
  <c r="U15" i="2"/>
  <c r="U16" i="2"/>
  <c r="AB16" i="2" s="1"/>
  <c r="U17" i="2"/>
  <c r="AB17" i="2" s="1"/>
  <c r="U18" i="2"/>
  <c r="U19" i="2"/>
  <c r="AB19" i="2" s="1"/>
  <c r="U20" i="2"/>
  <c r="AB20" i="2" s="1"/>
  <c r="U21" i="2"/>
  <c r="U22" i="2"/>
  <c r="U23" i="2"/>
  <c r="AB23" i="2" s="1"/>
  <c r="U24" i="2"/>
  <c r="AB24" i="2" s="1"/>
  <c r="U25" i="2"/>
  <c r="AB25" i="2" s="1"/>
  <c r="U26" i="2"/>
  <c r="U27" i="2"/>
  <c r="AB27" i="2" s="1"/>
  <c r="U28" i="2"/>
  <c r="AB28" i="2" s="1"/>
  <c r="U29" i="2"/>
  <c r="U30" i="2"/>
  <c r="U31" i="2"/>
  <c r="AB31" i="2" s="1"/>
  <c r="U32" i="2"/>
  <c r="AB32" i="2" s="1"/>
  <c r="U33" i="2"/>
  <c r="AB33" i="2" s="1"/>
  <c r="U34" i="2"/>
  <c r="AB34" i="2" s="1"/>
  <c r="U35" i="2"/>
  <c r="AB35" i="2" s="1"/>
  <c r="U37" i="2"/>
  <c r="U38" i="2"/>
  <c r="U39" i="2"/>
  <c r="U40" i="2"/>
  <c r="AB40" i="2" s="1"/>
  <c r="U41" i="2"/>
  <c r="AB41" i="2" s="1"/>
  <c r="U42" i="2"/>
  <c r="AB42" i="2" s="1"/>
  <c r="U43" i="2"/>
  <c r="AB43" i="2" s="1"/>
  <c r="U45" i="2"/>
  <c r="U46" i="2"/>
  <c r="U47" i="2"/>
  <c r="U48" i="2"/>
  <c r="AB48" i="2" s="1"/>
  <c r="U49" i="2"/>
  <c r="AB49" i="2" s="1"/>
  <c r="U50" i="2"/>
  <c r="AB50" i="2" s="1"/>
  <c r="U51" i="2"/>
  <c r="AB51" i="2" s="1"/>
  <c r="U52" i="2"/>
  <c r="AB52" i="2" s="1"/>
  <c r="U53" i="2"/>
  <c r="AB53" i="2" s="1"/>
  <c r="U54" i="2"/>
  <c r="AB54" i="2" s="1"/>
  <c r="U55" i="2"/>
  <c r="AB55" i="2" s="1"/>
  <c r="U56" i="2"/>
  <c r="U57" i="2"/>
  <c r="U58" i="2"/>
  <c r="AB58" i="2" s="1"/>
  <c r="U59" i="2"/>
  <c r="AB59" i="2" s="1"/>
  <c r="U60" i="2"/>
  <c r="AB60" i="2" s="1"/>
  <c r="U61" i="2"/>
  <c r="AB61" i="2" s="1"/>
  <c r="U62" i="2"/>
  <c r="AB62" i="2" s="1"/>
  <c r="U63" i="2"/>
  <c r="AB63" i="2" s="1"/>
  <c r="U64" i="2"/>
  <c r="U65" i="2"/>
  <c r="U66" i="2"/>
  <c r="AB66" i="2" s="1"/>
  <c r="U67" i="2"/>
  <c r="AB67" i="2" s="1"/>
  <c r="U68" i="2"/>
  <c r="AB68" i="2" s="1"/>
  <c r="U69" i="2"/>
  <c r="AB69" i="2" s="1"/>
  <c r="U70" i="2"/>
  <c r="AB70" i="2" s="1"/>
  <c r="U71" i="2"/>
  <c r="AB71" i="2" s="1"/>
  <c r="U72" i="2"/>
  <c r="AB72" i="2" s="1"/>
  <c r="U73" i="2"/>
  <c r="U74" i="2"/>
  <c r="U75" i="2"/>
  <c r="AB75" i="2" s="1"/>
  <c r="U76" i="2"/>
  <c r="AB76" i="2" s="1"/>
  <c r="U77" i="2"/>
  <c r="AB77" i="2" s="1"/>
  <c r="U78" i="2"/>
  <c r="AB78" i="2" s="1"/>
  <c r="U79" i="2"/>
  <c r="U80" i="2"/>
  <c r="U81" i="2"/>
  <c r="U82" i="2"/>
  <c r="U83" i="2"/>
  <c r="AB83" i="2" s="1"/>
  <c r="U84" i="2"/>
  <c r="AB84" i="2" s="1"/>
  <c r="U85" i="2"/>
  <c r="AB85" i="2" s="1"/>
  <c r="U86" i="2"/>
  <c r="AB86" i="2" s="1"/>
  <c r="U87" i="2"/>
  <c r="AB87" i="2" s="1"/>
  <c r="S5" i="2"/>
  <c r="Y5" i="2" s="1"/>
  <c r="S6" i="2"/>
  <c r="Y6" i="2" s="1"/>
  <c r="S7" i="2"/>
  <c r="Y7" i="2" s="1"/>
  <c r="S8" i="2"/>
  <c r="Y8" i="2" s="1"/>
  <c r="S9" i="2"/>
  <c r="Y9" i="2" s="1"/>
  <c r="S10" i="2"/>
  <c r="Y10" i="2" s="1"/>
  <c r="S11" i="2"/>
  <c r="Y11" i="2" s="1"/>
  <c r="S12" i="2"/>
  <c r="Y12" i="2" s="1"/>
  <c r="S13" i="2"/>
  <c r="Y13" i="2" s="1"/>
  <c r="S14" i="2"/>
  <c r="Y14" i="2" s="1"/>
  <c r="S15" i="2"/>
  <c r="Y15" i="2" s="1"/>
  <c r="S16" i="2"/>
  <c r="Y16" i="2" s="1"/>
  <c r="S17" i="2"/>
  <c r="Y17" i="2" s="1"/>
  <c r="S18" i="2"/>
  <c r="Y18" i="2" s="1"/>
  <c r="S19" i="2"/>
  <c r="Y19" i="2" s="1"/>
  <c r="S20" i="2"/>
  <c r="Y20" i="2" s="1"/>
  <c r="S21" i="2"/>
  <c r="Y21" i="2" s="1"/>
  <c r="S22" i="2"/>
  <c r="Y22" i="2" s="1"/>
  <c r="S23" i="2"/>
  <c r="Y23" i="2" s="1"/>
  <c r="S24" i="2"/>
  <c r="Y24" i="2" s="1"/>
  <c r="S25" i="2"/>
  <c r="Y25" i="2" s="1"/>
  <c r="S26" i="2"/>
  <c r="Y26" i="2" s="1"/>
  <c r="S27" i="2"/>
  <c r="Y27" i="2" s="1"/>
  <c r="S28" i="2"/>
  <c r="Y28" i="2" s="1"/>
  <c r="S29" i="2"/>
  <c r="Y29" i="2" s="1"/>
  <c r="S30" i="2"/>
  <c r="Y30" i="2" s="1"/>
  <c r="S31" i="2"/>
  <c r="Y31" i="2" s="1"/>
  <c r="S32" i="2"/>
  <c r="Y32" i="2" s="1"/>
  <c r="S33" i="2"/>
  <c r="Y33" i="2" s="1"/>
  <c r="S34" i="2"/>
  <c r="Y34" i="2" s="1"/>
  <c r="S35" i="2"/>
  <c r="Y35" i="2" s="1"/>
  <c r="S36" i="2"/>
  <c r="Y36" i="2" s="1"/>
  <c r="S37" i="2"/>
  <c r="Y37" i="2" s="1"/>
  <c r="S38" i="2"/>
  <c r="Y38" i="2" s="1"/>
  <c r="S39" i="2"/>
  <c r="Y39" i="2" s="1"/>
  <c r="S40" i="2"/>
  <c r="Y40" i="2" s="1"/>
  <c r="S41" i="2"/>
  <c r="Y41" i="2" s="1"/>
  <c r="S42" i="2"/>
  <c r="Y42" i="2" s="1"/>
  <c r="S43" i="2"/>
  <c r="Y43" i="2" s="1"/>
  <c r="S44" i="2"/>
  <c r="Y44" i="2" s="1"/>
  <c r="S45" i="2"/>
  <c r="Y45" i="2" s="1"/>
  <c r="S46" i="2"/>
  <c r="Y46" i="2" s="1"/>
  <c r="S47" i="2"/>
  <c r="Y47" i="2" s="1"/>
  <c r="S48" i="2"/>
  <c r="Y48" i="2" s="1"/>
  <c r="S49" i="2"/>
  <c r="Y49" i="2" s="1"/>
  <c r="S50" i="2"/>
  <c r="Y50" i="2" s="1"/>
  <c r="S51" i="2"/>
  <c r="Y51" i="2" s="1"/>
  <c r="S52" i="2"/>
  <c r="Y52" i="2" s="1"/>
  <c r="S53" i="2"/>
  <c r="Y53" i="2" s="1"/>
  <c r="S54" i="2"/>
  <c r="Y54" i="2" s="1"/>
  <c r="S55" i="2"/>
  <c r="Y55" i="2" s="1"/>
  <c r="S56" i="2"/>
  <c r="Y56" i="2" s="1"/>
  <c r="S57" i="2"/>
  <c r="Y57" i="2" s="1"/>
  <c r="S58" i="2"/>
  <c r="Y58" i="2" s="1"/>
  <c r="S59" i="2"/>
  <c r="Y59" i="2" s="1"/>
  <c r="S60" i="2"/>
  <c r="Y60" i="2" s="1"/>
  <c r="S61" i="2"/>
  <c r="Y61" i="2" s="1"/>
  <c r="S62" i="2"/>
  <c r="Y62" i="2" s="1"/>
  <c r="S63" i="2"/>
  <c r="Y63" i="2" s="1"/>
  <c r="S64" i="2"/>
  <c r="Y64" i="2" s="1"/>
  <c r="S65" i="2"/>
  <c r="Y65" i="2" s="1"/>
  <c r="S66" i="2"/>
  <c r="Y66" i="2" s="1"/>
  <c r="S67" i="2"/>
  <c r="Y67" i="2" s="1"/>
  <c r="S68" i="2"/>
  <c r="Y68" i="2" s="1"/>
  <c r="S69" i="2"/>
  <c r="Y69" i="2" s="1"/>
  <c r="S70" i="2"/>
  <c r="Y70" i="2" s="1"/>
  <c r="S71" i="2"/>
  <c r="Y71" i="2" s="1"/>
  <c r="S72" i="2"/>
  <c r="Y72" i="2" s="1"/>
  <c r="S73" i="2"/>
  <c r="Y73" i="2" s="1"/>
  <c r="S74" i="2"/>
  <c r="Y74" i="2" s="1"/>
  <c r="S75" i="2"/>
  <c r="Y75" i="2" s="1"/>
  <c r="S76" i="2"/>
  <c r="Y76" i="2" s="1"/>
  <c r="S77" i="2"/>
  <c r="Y77" i="2" s="1"/>
  <c r="S78" i="2"/>
  <c r="Y78" i="2" s="1"/>
  <c r="S79" i="2"/>
  <c r="Y79" i="2" s="1"/>
  <c r="S80" i="2"/>
  <c r="Y80" i="2" s="1"/>
  <c r="S81" i="2"/>
  <c r="Y81" i="2" s="1"/>
  <c r="S82" i="2"/>
  <c r="Y82" i="2" s="1"/>
  <c r="S83" i="2"/>
  <c r="Y83" i="2" s="1"/>
  <c r="S84" i="2"/>
  <c r="Y84" i="2" s="1"/>
  <c r="S85" i="2"/>
  <c r="Y85" i="2" s="1"/>
  <c r="S86" i="2"/>
  <c r="Y86" i="2" s="1"/>
  <c r="S87" i="2"/>
  <c r="Y87" i="2" s="1"/>
  <c r="M3" i="2"/>
  <c r="AF3" i="2" s="1"/>
  <c r="M4" i="2"/>
  <c r="AF4" i="2" s="1"/>
  <c r="M5" i="2"/>
  <c r="AF5" i="2" s="1"/>
  <c r="M6" i="2"/>
  <c r="AF6" i="2" s="1"/>
  <c r="M7" i="2"/>
  <c r="AF7" i="2" s="1"/>
  <c r="M8" i="2"/>
  <c r="AF8" i="2" s="1"/>
  <c r="M9" i="2"/>
  <c r="AF9" i="2" s="1"/>
  <c r="M10" i="2"/>
  <c r="AF10" i="2" s="1"/>
  <c r="M2" i="2"/>
  <c r="AF2" i="2" s="1"/>
  <c r="L3" i="2"/>
  <c r="L4" i="2"/>
  <c r="L5" i="2"/>
  <c r="AC5" i="2" s="1"/>
  <c r="L6" i="2"/>
  <c r="AC6" i="2" s="1"/>
  <c r="L7" i="2"/>
  <c r="AC7" i="2" s="1"/>
  <c r="L8" i="2"/>
  <c r="AC8" i="2" s="1"/>
  <c r="L9" i="2"/>
  <c r="AC9" i="2" s="1"/>
  <c r="L10" i="2"/>
  <c r="AC10" i="2" s="1"/>
  <c r="L2" i="2"/>
  <c r="AG86" i="2" l="1"/>
  <c r="AG70" i="2"/>
  <c r="AG54" i="2"/>
  <c r="AG38" i="2"/>
  <c r="AG22" i="2"/>
  <c r="AB80" i="2"/>
  <c r="AB79" i="2"/>
  <c r="AD79" i="2" s="1"/>
  <c r="AG87" i="2"/>
  <c r="AG71" i="2"/>
  <c r="AG55" i="2"/>
  <c r="AG39" i="2"/>
  <c r="AA76" i="2"/>
  <c r="AA44" i="2"/>
  <c r="AA20" i="2"/>
  <c r="AA68" i="2"/>
  <c r="AA52" i="2"/>
  <c r="AA28" i="2"/>
  <c r="AA84" i="2"/>
  <c r="AA60" i="2"/>
  <c r="AA36" i="2"/>
  <c r="AA12" i="2"/>
  <c r="AA81" i="2"/>
  <c r="AA73" i="2"/>
  <c r="AA65" i="2"/>
  <c r="AA57" i="2"/>
  <c r="AA49" i="2"/>
  <c r="AA41" i="2"/>
  <c r="AA33" i="2"/>
  <c r="AA25" i="2"/>
  <c r="AA17" i="2"/>
  <c r="AA9" i="2"/>
  <c r="AA54" i="2"/>
  <c r="AA14" i="2"/>
  <c r="AB65" i="2"/>
  <c r="AA85" i="2"/>
  <c r="AA77" i="2"/>
  <c r="AA69" i="2"/>
  <c r="AA61" i="2"/>
  <c r="AA53" i="2"/>
  <c r="AA45" i="2"/>
  <c r="AA37" i="2"/>
  <c r="AA29" i="2"/>
  <c r="AA21" i="2"/>
  <c r="AA13" i="2"/>
  <c r="AA5" i="2"/>
  <c r="AB39" i="2"/>
  <c r="AD39" i="2" s="1"/>
  <c r="AB30" i="2"/>
  <c r="AD30" i="2" s="1"/>
  <c r="AG12" i="2"/>
  <c r="AA78" i="2"/>
  <c r="AA46" i="2"/>
  <c r="AA6" i="2"/>
  <c r="AB57" i="2"/>
  <c r="AD57" i="2" s="1"/>
  <c r="AB47" i="2"/>
  <c r="AD47" i="2" s="1"/>
  <c r="AB38" i="2"/>
  <c r="AD38" i="2" s="1"/>
  <c r="AB29" i="2"/>
  <c r="AD29" i="2" s="1"/>
  <c r="AB21" i="2"/>
  <c r="AD21" i="2" s="1"/>
  <c r="AA86" i="2"/>
  <c r="AA38" i="2"/>
  <c r="AB81" i="2"/>
  <c r="AD81" i="2" s="1"/>
  <c r="AB46" i="2"/>
  <c r="AD46" i="2" s="1"/>
  <c r="AB12" i="2"/>
  <c r="AD12" i="2" s="1"/>
  <c r="AE15" i="2"/>
  <c r="AG15" i="2" s="1"/>
  <c r="AA70" i="2"/>
  <c r="AA30" i="2"/>
  <c r="AB73" i="2"/>
  <c r="AB11" i="2"/>
  <c r="AG11" i="2"/>
  <c r="AA62" i="2"/>
  <c r="AA22" i="2"/>
  <c r="AB26" i="2"/>
  <c r="AD26" i="2" s="1"/>
  <c r="AB18" i="2"/>
  <c r="AD18" i="2" s="1"/>
  <c r="AG85" i="2"/>
  <c r="AG77" i="2"/>
  <c r="AB82" i="2"/>
  <c r="AD82" i="2" s="1"/>
  <c r="AB74" i="2"/>
  <c r="AD74" i="2" s="1"/>
  <c r="AG83" i="2"/>
  <c r="AG75" i="2"/>
  <c r="AG67" i="2"/>
  <c r="AG59" i="2"/>
  <c r="AG51" i="2"/>
  <c r="AG43" i="2"/>
  <c r="AG35" i="2"/>
  <c r="AA80" i="2"/>
  <c r="AA72" i="2"/>
  <c r="AA64" i="2"/>
  <c r="AA56" i="2"/>
  <c r="AA48" i="2"/>
  <c r="AA40" i="2"/>
  <c r="AA32" i="2"/>
  <c r="AA24" i="2"/>
  <c r="AA16" i="2"/>
  <c r="AA8" i="2"/>
  <c r="AA87" i="2"/>
  <c r="AA79" i="2"/>
  <c r="AA71" i="2"/>
  <c r="AA63" i="2"/>
  <c r="AA55" i="2"/>
  <c r="AA47" i="2"/>
  <c r="AA39" i="2"/>
  <c r="AA31" i="2"/>
  <c r="AA23" i="2"/>
  <c r="AA15" i="2"/>
  <c r="AA7" i="2"/>
  <c r="AG69" i="2"/>
  <c r="AB64" i="2"/>
  <c r="AD64" i="2" s="1"/>
  <c r="AB56" i="2"/>
  <c r="AD56" i="2" s="1"/>
  <c r="AG60" i="2"/>
  <c r="AG52" i="2"/>
  <c r="AD59" i="2"/>
  <c r="AD70" i="2"/>
  <c r="AG44" i="2"/>
  <c r="AG36" i="2"/>
  <c r="AC35" i="2"/>
  <c r="AD35" i="2" s="1"/>
  <c r="AC43" i="2"/>
  <c r="AD43" i="2" s="1"/>
  <c r="AI44" i="2"/>
  <c r="AI36" i="2"/>
  <c r="AC36" i="2"/>
  <c r="AC44" i="2"/>
  <c r="AD48" i="2"/>
  <c r="AB45" i="2"/>
  <c r="AD45" i="2" s="1"/>
  <c r="AB37" i="2"/>
  <c r="AD37" i="2" s="1"/>
  <c r="AB44" i="2"/>
  <c r="AB36" i="2"/>
  <c r="AE25" i="2"/>
  <c r="AG25" i="2" s="1"/>
  <c r="AE21" i="2"/>
  <c r="AG21" i="2" s="1"/>
  <c r="AB22" i="2"/>
  <c r="AD22" i="2" s="1"/>
  <c r="AG28" i="2"/>
  <c r="AG20" i="2"/>
  <c r="AG27" i="2"/>
  <c r="AG19" i="2"/>
  <c r="AA83" i="2"/>
  <c r="AA75" i="2"/>
  <c r="AA67" i="2"/>
  <c r="AA59" i="2"/>
  <c r="AA51" i="2"/>
  <c r="AA43" i="2"/>
  <c r="AA35" i="2"/>
  <c r="AA27" i="2"/>
  <c r="AA19" i="2"/>
  <c r="AA11" i="2"/>
  <c r="AB9" i="2"/>
  <c r="AA82" i="2"/>
  <c r="AA74" i="2"/>
  <c r="AA66" i="2"/>
  <c r="AA58" i="2"/>
  <c r="AA50" i="2"/>
  <c r="AA42" i="2"/>
  <c r="AA34" i="2"/>
  <c r="AA26" i="2"/>
  <c r="AA18" i="2"/>
  <c r="AA10" i="2"/>
  <c r="AB8" i="2"/>
  <c r="AD8" i="2" s="1"/>
  <c r="AE6" i="2"/>
  <c r="AG6" i="2" s="1"/>
  <c r="AB15" i="2"/>
  <c r="AD15" i="2" s="1"/>
  <c r="AG61" i="2"/>
  <c r="AG53" i="2"/>
  <c r="AG45" i="2"/>
  <c r="AG37" i="2"/>
  <c r="AG29" i="2"/>
  <c r="AG84" i="2"/>
  <c r="AG76" i="2"/>
  <c r="AG68" i="2"/>
  <c r="AD61" i="2"/>
  <c r="AD86" i="2"/>
  <c r="AD78" i="2"/>
  <c r="AD62" i="2"/>
  <c r="AD54" i="2"/>
  <c r="AG14" i="2"/>
  <c r="AG17" i="2"/>
  <c r="AB14" i="2"/>
  <c r="AD14" i="2" s="1"/>
  <c r="AG31" i="2"/>
  <c r="AE7" i="2"/>
  <c r="AG7" i="2" s="1"/>
  <c r="AD87" i="2"/>
  <c r="AD71" i="2"/>
  <c r="AD63" i="2"/>
  <c r="AD55" i="2"/>
  <c r="AD31" i="2"/>
  <c r="AD23" i="2"/>
  <c r="AB7" i="2"/>
  <c r="AD7" i="2" s="1"/>
  <c r="AE5" i="2"/>
  <c r="AG5" i="2" s="1"/>
  <c r="AD85" i="2"/>
  <c r="AD77" i="2"/>
  <c r="AD69" i="2"/>
  <c r="AD53" i="2"/>
  <c r="AD13" i="2"/>
  <c r="AB6" i="2"/>
  <c r="AD84" i="2"/>
  <c r="AD76" i="2"/>
  <c r="AD68" i="2"/>
  <c r="AD60" i="2"/>
  <c r="AD52" i="2"/>
  <c r="AD28" i="2"/>
  <c r="AD20" i="2"/>
  <c r="AB5" i="2"/>
  <c r="AD5" i="2" s="1"/>
  <c r="AD83" i="2"/>
  <c r="AD75" i="2"/>
  <c r="AD67" i="2"/>
  <c r="AD51" i="2"/>
  <c r="AD27" i="2"/>
  <c r="AD19" i="2"/>
  <c r="AD11" i="2"/>
  <c r="AD9" i="2"/>
  <c r="AE10" i="2"/>
  <c r="AG10" i="2" s="1"/>
  <c r="AD66" i="2"/>
  <c r="AD58" i="2"/>
  <c r="AD50" i="2"/>
  <c r="AD42" i="2"/>
  <c r="AD34" i="2"/>
  <c r="AG64" i="2"/>
  <c r="AE9" i="2"/>
  <c r="AG9" i="2" s="1"/>
  <c r="AD73" i="2"/>
  <c r="AD65" i="2"/>
  <c r="AD49" i="2"/>
  <c r="AD41" i="2"/>
  <c r="AD33" i="2"/>
  <c r="AD25" i="2"/>
  <c r="AD17" i="2"/>
  <c r="AD6" i="2"/>
  <c r="AB10" i="2"/>
  <c r="AD10" i="2" s="1"/>
  <c r="AE8" i="2"/>
  <c r="AG8" i="2" s="1"/>
  <c r="AD80" i="2"/>
  <c r="AD72" i="2"/>
  <c r="AD40" i="2"/>
  <c r="AD32" i="2"/>
  <c r="AD24" i="2"/>
  <c r="AD16" i="2"/>
  <c r="AG42" i="2"/>
  <c r="AG66" i="2"/>
  <c r="AG18" i="2"/>
  <c r="AG16" i="2"/>
  <c r="AG82" i="2"/>
  <c r="AG40" i="2"/>
  <c r="AG80" i="2"/>
  <c r="AG58" i="2"/>
  <c r="AG56" i="2"/>
  <c r="AG34" i="2"/>
  <c r="AG32" i="2"/>
  <c r="AG74" i="2"/>
  <c r="AG13" i="2"/>
  <c r="AG72" i="2"/>
  <c r="AG50" i="2"/>
  <c r="AG26" i="2"/>
  <c r="AG24" i="2"/>
  <c r="AG48" i="2"/>
  <c r="F3" i="1"/>
  <c r="AD36" i="2" l="1"/>
  <c r="AD44" i="2"/>
  <c r="Z4" i="2"/>
  <c r="U2" i="2"/>
  <c r="U3" i="2"/>
  <c r="U4" i="2"/>
  <c r="S4" i="2"/>
  <c r="Y4" i="2" s="1"/>
  <c r="S3" i="2"/>
  <c r="AC4" i="2"/>
  <c r="AA4" i="2" l="1"/>
  <c r="AB4" i="2"/>
  <c r="AD4" i="2" s="1"/>
  <c r="AI4" i="2" l="1"/>
  <c r="W4" i="2"/>
  <c r="AE4" i="2" s="1"/>
  <c r="AG4" i="2" l="1"/>
  <c r="E3" i="1"/>
  <c r="AC3" i="2" l="1"/>
  <c r="AC2" i="2"/>
  <c r="S2" i="2"/>
  <c r="W2" i="2" s="1"/>
  <c r="AB2" i="2"/>
  <c r="K2" i="1"/>
  <c r="K3" i="1" s="1"/>
  <c r="F4" i="1"/>
  <c r="G3" i="1"/>
  <c r="H3" i="1"/>
  <c r="I4" i="1"/>
  <c r="I3" i="1"/>
  <c r="J4" i="1"/>
  <c r="J3" i="1"/>
  <c r="W3" i="2" l="1"/>
  <c r="AE3" i="2" s="1"/>
  <c r="AB3" i="2"/>
  <c r="AD3" i="2" s="1"/>
  <c r="AE2" i="2"/>
  <c r="AI2" i="2"/>
  <c r="AD2" i="2"/>
  <c r="AI3" i="2"/>
  <c r="K4" i="1"/>
  <c r="AG3" i="2" l="1"/>
  <c r="AG2" i="2"/>
  <c r="Z2" i="2"/>
  <c r="Z3" i="2"/>
  <c r="Y2" i="2"/>
  <c r="Y3" i="2"/>
  <c r="AA3" i="2" l="1"/>
  <c r="A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I1" authorId="0" shapeId="0" xr:uid="{45704D92-FE80-42D7-9D0F-A7B1FFAD8EC9}">
      <text>
        <r>
          <rPr>
            <sz val="9"/>
            <color indexed="81"/>
            <rFont val="Tahoma"/>
            <family val="2"/>
          </rPr>
          <t>* Stress amplitude at 2E6 cycles at R=-1</t>
        </r>
      </text>
    </comment>
    <comment ref="J1" authorId="0" shapeId="0" xr:uid="{D4E9C955-5769-4B56-A84F-DD85E574B1C6}">
      <text>
        <r>
          <rPr>
            <sz val="9"/>
            <color indexed="81"/>
            <rFont val="Tahoma"/>
            <family val="2"/>
          </rPr>
          <t>* Shear stress amplitude at 2E6 cycles at R=-1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L1" authorId="0" shapeId="0" xr:uid="{1CC4F29A-57B3-44F7-965B-DA237098AC81}">
      <text>
        <r>
          <rPr>
            <b/>
            <sz val="9"/>
            <color indexed="81"/>
            <rFont val="Tahoma"/>
            <family val="2"/>
          </rPr>
          <t>Net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gross</t>
        </r>
        <r>
          <rPr>
            <sz val="9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AF1" authorId="0" shapeId="0" xr:uid="{9FF8F0D0-F417-44D6-8546-8FAE9596A067}">
      <text>
        <r>
          <rPr>
            <sz val="9"/>
            <color indexed="81"/>
            <rFont val="Tahoma"/>
            <family val="2"/>
          </rPr>
          <t>Multiplied by 2 as defined in the formula in the article</t>
        </r>
        <r>
          <rPr>
            <b/>
            <sz val="9"/>
            <color indexed="81"/>
            <rFont val="Tahoma"/>
            <family val="2"/>
          </rPr>
          <t xml:space="preserve"> (to be hecked with Freytag)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<sst xmlns="http://schemas.openxmlformats.org/spreadsheetml/2006/main" count="1259" uniqueCount="156">
  <si>
    <t>Article DOI</t>
  </si>
  <si>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</si>
  <si>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</si>
  <si>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</si>
  <si>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</si>
  <si>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</si>
  <si>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</si>
  <si>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</si>
  <si>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</si>
  <si>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</si>
  <si>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AXIAL stress  (MPa)</t>
  </si>
  <si>
    <t>Amplitute AXIAL stress  (MPa)</t>
  </si>
  <si>
    <t>Mean SHEAR stress  (MPa)</t>
  </si>
  <si>
    <t>Amplitute SHEAR stress  (MPa)</t>
  </si>
  <si>
    <t>Mean internal pressure  (MPa)</t>
  </si>
  <si>
    <t>Amplitute internal pressure  (MPa)</t>
  </si>
  <si>
    <t>Maximum internal pressure  (MPa)</t>
  </si>
  <si>
    <t>Mean AXIAL force (N)</t>
  </si>
  <si>
    <t>Amplitude AXIAL force (N)</t>
  </si>
  <si>
    <t>Maximum AXIAL force (N)</t>
  </si>
  <si>
    <t>Maximum TORQUE (Nmm)</t>
  </si>
  <si>
    <t>Amplitude TORQUE (Nmm)</t>
  </si>
  <si>
    <t>Mean TORQUE (Nmm)</t>
  </si>
  <si>
    <t>Lambda (tauA/sigmaA)</t>
  </si>
  <si>
    <t>Phase radial load (°)</t>
  </si>
  <si>
    <t>Phase torsional load (°)</t>
  </si>
  <si>
    <t>Load ratio (RADIAL)</t>
  </si>
  <si>
    <t>Load ratio (AXIAL)</t>
  </si>
  <si>
    <t>Load ratio (TORSIONAL)</t>
  </si>
  <si>
    <t>Geometry picture</t>
  </si>
  <si>
    <t>Diameter (mm)</t>
  </si>
  <si>
    <t>Polar momento of inertia (mm^4)</t>
  </si>
  <si>
    <t>Failure type (complete rupture/stiffness decrease)</t>
  </si>
  <si>
    <t>Specimen name</t>
  </si>
  <si>
    <t>No</t>
  </si>
  <si>
    <t>Null</t>
  </si>
  <si>
    <t>Young's modulus (MPa)</t>
  </si>
  <si>
    <t>Tensile fatigue limit* (MPa)</t>
  </si>
  <si>
    <t>Standard deviation</t>
  </si>
  <si>
    <t>Average</t>
  </si>
  <si>
    <t>Torsional fatigue limit* (MPa)</t>
  </si>
  <si>
    <t>Article year</t>
  </si>
  <si>
    <t>Authors</t>
  </si>
  <si>
    <t>complete rupture</t>
  </si>
  <si>
    <t>Geometry type (flat/cylindrical)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</si>
  <si>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</si>
  <si>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</si>
  <si>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</si>
  <si>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</si>
  <si>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</si>
  <si>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</si>
  <si>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10.1016/j.ijfatigue.2017.12.013</t>
  </si>
  <si>
    <t>Janssens</t>
  </si>
  <si>
    <t xml:space="preserve">10.1016/j.ijfatigue.2017.12.013 </t>
  </si>
  <si>
    <t>AISI 316L</t>
  </si>
  <si>
    <t xml:space="preserve">10.1016/j.matdes.2024.113122 </t>
  </si>
  <si>
    <t>Uniaxial_1</t>
  </si>
  <si>
    <t>Uniaxial_2</t>
  </si>
  <si>
    <t>Uniaxial_3</t>
  </si>
  <si>
    <t>Uniaxial_4</t>
  </si>
  <si>
    <t>Uniaxial_5</t>
  </si>
  <si>
    <t>Uniaxial_6</t>
  </si>
  <si>
    <t>Uniaxial_7</t>
  </si>
  <si>
    <t>Uniaxial_8</t>
  </si>
  <si>
    <t>Uniaxial_9</t>
  </si>
  <si>
    <t xml:space="preserve">tubular </t>
  </si>
  <si>
    <t>Area (mm^2)</t>
  </si>
  <si>
    <t>stiffness decrease</t>
  </si>
  <si>
    <t>Torsional_1</t>
  </si>
  <si>
    <t>Torsional_2</t>
  </si>
  <si>
    <t>Torsional_3</t>
  </si>
  <si>
    <t>Torsional_4</t>
  </si>
  <si>
    <t>Torsional_5</t>
  </si>
  <si>
    <t>Torsional_6</t>
  </si>
  <si>
    <t>Torsional_7</t>
  </si>
  <si>
    <t>Non_prop_1</t>
  </si>
  <si>
    <t>Non_prop_2</t>
  </si>
  <si>
    <t>Non_prop_3</t>
  </si>
  <si>
    <t>Non_prop_4</t>
  </si>
  <si>
    <t>Non_prop_5</t>
  </si>
  <si>
    <t>Non_prop_6</t>
  </si>
  <si>
    <t>Non_prop_7</t>
  </si>
  <si>
    <t>Non_prop_8</t>
  </si>
  <si>
    <t>Non_prop_9</t>
  </si>
  <si>
    <t>Non_prop_10</t>
  </si>
  <si>
    <t>Non_prop_11</t>
  </si>
  <si>
    <t>Braun et al.</t>
  </si>
  <si>
    <t>V_notched_1</t>
  </si>
  <si>
    <t>V_notched_2</t>
  </si>
  <si>
    <t>V_notched_3</t>
  </si>
  <si>
    <t>V_notched_4</t>
  </si>
  <si>
    <t>V_notched_5</t>
  </si>
  <si>
    <t>V_notched_6</t>
  </si>
  <si>
    <t>V_notched_7</t>
  </si>
  <si>
    <t>V_notched_8</t>
  </si>
  <si>
    <t>V_notched_9</t>
  </si>
  <si>
    <t>V_notched_10</t>
  </si>
  <si>
    <t>V_notched_11</t>
  </si>
  <si>
    <t>V_notched_12</t>
  </si>
  <si>
    <t>V_notched_13</t>
  </si>
  <si>
    <t>V_notched_14</t>
  </si>
  <si>
    <t>V_notched_15</t>
  </si>
  <si>
    <t>V_notched_16</t>
  </si>
  <si>
    <t>V_notched_17</t>
  </si>
  <si>
    <t>V_notched_18</t>
  </si>
  <si>
    <t>V_notched_19</t>
  </si>
  <si>
    <t>V_notched_20</t>
  </si>
  <si>
    <t>V_notched_21</t>
  </si>
  <si>
    <t>V_notched_22</t>
  </si>
  <si>
    <t>flat</t>
  </si>
  <si>
    <t>U_notched_1</t>
  </si>
  <si>
    <t>U_notched_2</t>
  </si>
  <si>
    <t>U_notched_3</t>
  </si>
  <si>
    <t>U_notched_4</t>
  </si>
  <si>
    <t>U_notched_5</t>
  </si>
  <si>
    <t>U_notched_6</t>
  </si>
  <si>
    <t>U_notched_7</t>
  </si>
  <si>
    <t>U_notched_8</t>
  </si>
  <si>
    <t>U_notched_9</t>
  </si>
  <si>
    <t>U_notched_10</t>
  </si>
  <si>
    <t>U_notched_11</t>
  </si>
  <si>
    <t>U_notched_12</t>
  </si>
  <si>
    <t>U_notched_13</t>
  </si>
  <si>
    <t>U_notched_14</t>
  </si>
  <si>
    <t>U_notched_15</t>
  </si>
  <si>
    <t>U_notched_16</t>
  </si>
  <si>
    <t>U_notched_17</t>
  </si>
  <si>
    <t>U_notched_18</t>
  </si>
  <si>
    <t>U_notched_19</t>
  </si>
  <si>
    <t>U_notched_20</t>
  </si>
  <si>
    <t>Plain_axial_1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</si>
  <si>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</si>
  <si>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</si>
  <si>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</si>
  <si>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</si>
  <si>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</si>
  <si>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</si>
  <si>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</si>
  <si>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</si>
  <si>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</si>
  <si>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</si>
  <si>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</si>
  <si>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</si>
  <si>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Plain_axial_14</t>
  </si>
  <si>
    <t>Plain_axial_15</t>
  </si>
  <si>
    <t>Plain_axial_16</t>
  </si>
  <si>
    <t>Plain_axial_17</t>
  </si>
  <si>
    <t>Amplitude von Mises (MPa)</t>
  </si>
  <si>
    <t>Data count</t>
  </si>
  <si>
    <t>k FS (-)</t>
  </si>
  <si>
    <t>k FI (-)</t>
  </si>
  <si>
    <t>L_LI</t>
  </si>
  <si>
    <t>k_MGSE</t>
  </si>
  <si>
    <t>a_MSWT</t>
  </si>
  <si>
    <t>alpha_w</t>
  </si>
  <si>
    <t>xi_ZHU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</si>
</sst>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e" xfId="0" builtinId="0"/>
  </cellStyles>
  <dxfs count="57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Dataset!$E$2:$E$87</c:f>
              <c:numCache>
                <c:formatCode>0</c:formatCode>
                <c:ptCount val="86"/>
                <c:pt idx="0">
                  <c:v>11000000</c:v>
                </c:pt>
                <c:pt idx="1">
                  <c:v>2474000</c:v>
                </c:pt>
                <c:pt idx="2">
                  <c:v>206000</c:v>
                </c:pt>
                <c:pt idx="3">
                  <c:v>11000000</c:v>
                </c:pt>
                <c:pt idx="4">
                  <c:v>116000</c:v>
                </c:pt>
                <c:pt idx="5">
                  <c:v>158000</c:v>
                </c:pt>
                <c:pt idx="6">
                  <c:v>11000000</c:v>
                </c:pt>
                <c:pt idx="7">
                  <c:v>638000</c:v>
                </c:pt>
                <c:pt idx="8">
                  <c:v>509000</c:v>
                </c:pt>
                <c:pt idx="9">
                  <c:v>11000000</c:v>
                </c:pt>
                <c:pt idx="10">
                  <c:v>11000000</c:v>
                </c:pt>
                <c:pt idx="11">
                  <c:v>445000</c:v>
                </c:pt>
                <c:pt idx="12">
                  <c:v>2165000</c:v>
                </c:pt>
                <c:pt idx="13">
                  <c:v>849000</c:v>
                </c:pt>
                <c:pt idx="14">
                  <c:v>474000</c:v>
                </c:pt>
                <c:pt idx="15">
                  <c:v>198000</c:v>
                </c:pt>
                <c:pt idx="16">
                  <c:v>11000000</c:v>
                </c:pt>
                <c:pt idx="17">
                  <c:v>11000000</c:v>
                </c:pt>
                <c:pt idx="18">
                  <c:v>11000000</c:v>
                </c:pt>
                <c:pt idx="19">
                  <c:v>194000</c:v>
                </c:pt>
                <c:pt idx="20">
                  <c:v>11000000</c:v>
                </c:pt>
                <c:pt idx="21">
                  <c:v>1458000</c:v>
                </c:pt>
                <c:pt idx="22">
                  <c:v>11000000</c:v>
                </c:pt>
                <c:pt idx="23">
                  <c:v>431000</c:v>
                </c:pt>
                <c:pt idx="24">
                  <c:v>246000</c:v>
                </c:pt>
                <c:pt idx="25">
                  <c:v>102000</c:v>
                </c:pt>
                <c:pt idx="26">
                  <c:v>116000</c:v>
                </c:pt>
                <c:pt idx="27">
                  <c:v>38505</c:v>
                </c:pt>
                <c:pt idx="28">
                  <c:v>89454</c:v>
                </c:pt>
                <c:pt idx="29">
                  <c:v>201484</c:v>
                </c:pt>
                <c:pt idx="30">
                  <c:v>247818</c:v>
                </c:pt>
                <c:pt idx="31">
                  <c:v>261733</c:v>
                </c:pt>
                <c:pt idx="32">
                  <c:v>347141</c:v>
                </c:pt>
                <c:pt idx="33">
                  <c:v>347221</c:v>
                </c:pt>
                <c:pt idx="34">
                  <c:v>369481</c:v>
                </c:pt>
                <c:pt idx="35">
                  <c:v>436200</c:v>
                </c:pt>
                <c:pt idx="36">
                  <c:v>515532</c:v>
                </c:pt>
                <c:pt idx="37">
                  <c:v>516299</c:v>
                </c:pt>
                <c:pt idx="38">
                  <c:v>603574</c:v>
                </c:pt>
                <c:pt idx="39">
                  <c:v>754651</c:v>
                </c:pt>
                <c:pt idx="40">
                  <c:v>1031849</c:v>
                </c:pt>
                <c:pt idx="41">
                  <c:v>2063734</c:v>
                </c:pt>
                <c:pt idx="42">
                  <c:v>2591273</c:v>
                </c:pt>
                <c:pt idx="43">
                  <c:v>2673283</c:v>
                </c:pt>
                <c:pt idx="44">
                  <c:v>2700129</c:v>
                </c:pt>
                <c:pt idx="45">
                  <c:v>2770129</c:v>
                </c:pt>
                <c:pt idx="46">
                  <c:v>10000000</c:v>
                </c:pt>
                <c:pt idx="47">
                  <c:v>10000000</c:v>
                </c:pt>
                <c:pt idx="48">
                  <c:v>10248220</c:v>
                </c:pt>
                <c:pt idx="49" formatCode="0.00">
                  <c:v>91731</c:v>
                </c:pt>
                <c:pt idx="50" formatCode="0.00">
                  <c:v>98171</c:v>
                </c:pt>
                <c:pt idx="51" formatCode="0.00">
                  <c:v>111717</c:v>
                </c:pt>
                <c:pt idx="52" formatCode="0.00">
                  <c:v>129814</c:v>
                </c:pt>
                <c:pt idx="53" formatCode="0.00">
                  <c:v>220373</c:v>
                </c:pt>
                <c:pt idx="54" formatCode="0.00">
                  <c:v>223607</c:v>
                </c:pt>
                <c:pt idx="55" formatCode="0.00">
                  <c:v>249456</c:v>
                </c:pt>
                <c:pt idx="56" formatCode="0.00">
                  <c:v>283473</c:v>
                </c:pt>
                <c:pt idx="57" formatCode="0.00">
                  <c:v>337118</c:v>
                </c:pt>
                <c:pt idx="58" formatCode="0.00">
                  <c:v>347909</c:v>
                </c:pt>
                <c:pt idx="59" formatCode="0.00">
                  <c:v>415552</c:v>
                </c:pt>
                <c:pt idx="60" formatCode="0.00">
                  <c:v>424117</c:v>
                </c:pt>
                <c:pt idx="61" formatCode="0.00">
                  <c:v>660562</c:v>
                </c:pt>
                <c:pt idx="62" formatCode="0.00">
                  <c:v>2134445</c:v>
                </c:pt>
                <c:pt idx="63" formatCode="0.00">
                  <c:v>2366590</c:v>
                </c:pt>
                <c:pt idx="64" formatCode="0.00">
                  <c:v>2400000</c:v>
                </c:pt>
                <c:pt idx="65" formatCode="0.00">
                  <c:v>2596329</c:v>
                </c:pt>
                <c:pt idx="66" formatCode="0.00">
                  <c:v>2676338</c:v>
                </c:pt>
                <c:pt idx="67" formatCode="0.00">
                  <c:v>3456187</c:v>
                </c:pt>
                <c:pt idx="68" formatCode="0.00">
                  <c:v>3955089</c:v>
                </c:pt>
                <c:pt idx="69" formatCode="General">
                  <c:v>69975.614335337901</c:v>
                </c:pt>
                <c:pt idx="70" formatCode="General">
                  <c:v>98291.938165044907</c:v>
                </c:pt>
                <c:pt idx="71" formatCode="General">
                  <c:v>115022.54352295501</c:v>
                </c:pt>
                <c:pt idx="72" formatCode="General">
                  <c:v>138119.68453642901</c:v>
                </c:pt>
                <c:pt idx="73" formatCode="General">
                  <c:v>159528.700623432</c:v>
                </c:pt>
                <c:pt idx="74" formatCode="General">
                  <c:v>184229.698075472</c:v>
                </c:pt>
                <c:pt idx="75" formatCode="General">
                  <c:v>172522.795562466</c:v>
                </c:pt>
                <c:pt idx="76" formatCode="General">
                  <c:v>221118.01442486999</c:v>
                </c:pt>
                <c:pt idx="77" formatCode="General">
                  <c:v>262112.51782478701</c:v>
                </c:pt>
                <c:pt idx="78" formatCode="General">
                  <c:v>242231.351892637</c:v>
                </c:pt>
                <c:pt idx="79" formatCode="General">
                  <c:v>448190.98851836799</c:v>
                </c:pt>
                <c:pt idx="80" formatCode="General">
                  <c:v>589889.81233492901</c:v>
                </c:pt>
                <c:pt idx="81" formatCode="General">
                  <c:v>613487.81895109196</c:v>
                </c:pt>
                <c:pt idx="82" formatCode="General">
                  <c:v>1513696.1672995901</c:v>
                </c:pt>
                <c:pt idx="83" formatCode="General">
                  <c:v>10083492.331762001</c:v>
                </c:pt>
                <c:pt idx="84" formatCode="General">
                  <c:v>10080834.9325461</c:v>
                </c:pt>
                <c:pt idx="85" formatCode="General">
                  <c:v>9947900.5566510092</c:v>
                </c:pt>
              </c:numCache>
            </c:numRef>
          </c:xVal>
          <c:yVal>
            <c:numRef>
              <c:f>Dataset!$AH$2:$AH$87</c:f>
              <c:numCache>
                <c:formatCode>General</c:formatCode>
                <c:ptCount val="86"/>
                <c:pt idx="0">
                  <c:v>230</c:v>
                </c:pt>
                <c:pt idx="1">
                  <c:v>235</c:v>
                </c:pt>
                <c:pt idx="2">
                  <c:v>235</c:v>
                </c:pt>
                <c:pt idx="3">
                  <c:v>235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240.75506225207394</c:v>
                </c:pt>
                <c:pt idx="10">
                  <c:v>249.41531628991834</c:v>
                </c:pt>
                <c:pt idx="11">
                  <c:v>249.41531628991834</c:v>
                </c:pt>
                <c:pt idx="12">
                  <c:v>249.41531628991834</c:v>
                </c:pt>
                <c:pt idx="13">
                  <c:v>254.61146871262497</c:v>
                </c:pt>
                <c:pt idx="14">
                  <c:v>259.8076211353316</c:v>
                </c:pt>
                <c:pt idx="15">
                  <c:v>265.00377355803823</c:v>
                </c:pt>
                <c:pt idx="16">
                  <c:v>240.23322001754877</c:v>
                </c:pt>
                <c:pt idx="17">
                  <c:v>259.93076001119988</c:v>
                </c:pt>
                <c:pt idx="18">
                  <c:v>269.77953962448674</c:v>
                </c:pt>
                <c:pt idx="19">
                  <c:v>279.62832474554506</c:v>
                </c:pt>
                <c:pt idx="20">
                  <c:v>289.47711481220756</c:v>
                </c:pt>
                <c:pt idx="21">
                  <c:v>296.68670344321129</c:v>
                </c:pt>
                <c:pt idx="22">
                  <c:v>300.55116037041017</c:v>
                </c:pt>
                <c:pt idx="23">
                  <c:v>303.89636391375268</c:v>
                </c:pt>
                <c:pt idx="24">
                  <c:v>310.39974226793424</c:v>
                </c:pt>
                <c:pt idx="25">
                  <c:v>311.10609122934255</c:v>
                </c:pt>
                <c:pt idx="26">
                  <c:v>320.24834113543818</c:v>
                </c:pt>
                <c:pt idx="27">
                  <c:v>140</c:v>
                </c:pt>
                <c:pt idx="28">
                  <c:v>125</c:v>
                </c:pt>
                <c:pt idx="29">
                  <c:v>108.5</c:v>
                </c:pt>
                <c:pt idx="30">
                  <c:v>120</c:v>
                </c:pt>
                <c:pt idx="31">
                  <c:v>108.5</c:v>
                </c:pt>
                <c:pt idx="32">
                  <c:v>100</c:v>
                </c:pt>
                <c:pt idx="33">
                  <c:v>104</c:v>
                </c:pt>
                <c:pt idx="34">
                  <c:v>100</c:v>
                </c:pt>
                <c:pt idx="35">
                  <c:v>95</c:v>
                </c:pt>
                <c:pt idx="36">
                  <c:v>96</c:v>
                </c:pt>
                <c:pt idx="37">
                  <c:v>94</c:v>
                </c:pt>
                <c:pt idx="38">
                  <c:v>90</c:v>
                </c:pt>
                <c:pt idx="39">
                  <c:v>100</c:v>
                </c:pt>
                <c:pt idx="40">
                  <c:v>103</c:v>
                </c:pt>
                <c:pt idx="41">
                  <c:v>91.5</c:v>
                </c:pt>
                <c:pt idx="42">
                  <c:v>91.5</c:v>
                </c:pt>
                <c:pt idx="43">
                  <c:v>95</c:v>
                </c:pt>
                <c:pt idx="44">
                  <c:v>85</c:v>
                </c:pt>
                <c:pt idx="45">
                  <c:v>90</c:v>
                </c:pt>
                <c:pt idx="46">
                  <c:v>96</c:v>
                </c:pt>
                <c:pt idx="47">
                  <c:v>95</c:v>
                </c:pt>
                <c:pt idx="48">
                  <c:v>90</c:v>
                </c:pt>
                <c:pt idx="49">
                  <c:v>158.5</c:v>
                </c:pt>
                <c:pt idx="50">
                  <c:v>158.5</c:v>
                </c:pt>
                <c:pt idx="51">
                  <c:v>150</c:v>
                </c:pt>
                <c:pt idx="52">
                  <c:v>153</c:v>
                </c:pt>
                <c:pt idx="53">
                  <c:v>146</c:v>
                </c:pt>
                <c:pt idx="54">
                  <c:v>146.5</c:v>
                </c:pt>
                <c:pt idx="55">
                  <c:v>137.5</c:v>
                </c:pt>
                <c:pt idx="56">
                  <c:v>133.5</c:v>
                </c:pt>
                <c:pt idx="57">
                  <c:v>141.5</c:v>
                </c:pt>
                <c:pt idx="58">
                  <c:v>144</c:v>
                </c:pt>
                <c:pt idx="59">
                  <c:v>125</c:v>
                </c:pt>
                <c:pt idx="60">
                  <c:v>150</c:v>
                </c:pt>
                <c:pt idx="61">
                  <c:v>129</c:v>
                </c:pt>
                <c:pt idx="62">
                  <c:v>121</c:v>
                </c:pt>
                <c:pt idx="63">
                  <c:v>137.5</c:v>
                </c:pt>
                <c:pt idx="64">
                  <c:v>133.5</c:v>
                </c:pt>
                <c:pt idx="65">
                  <c:v>129</c:v>
                </c:pt>
                <c:pt idx="66">
                  <c:v>125</c:v>
                </c:pt>
                <c:pt idx="67">
                  <c:v>125</c:v>
                </c:pt>
                <c:pt idx="68">
                  <c:v>137.5</c:v>
                </c:pt>
                <c:pt idx="69">
                  <c:v>255.717949373556</c:v>
                </c:pt>
                <c:pt idx="70">
                  <c:v>240.04280092058249</c:v>
                </c:pt>
                <c:pt idx="71">
                  <c:v>248.279407501717</c:v>
                </c:pt>
                <c:pt idx="72">
                  <c:v>241.05724428188401</c:v>
                </c:pt>
                <c:pt idx="73">
                  <c:v>249.32865953394651</c:v>
                </c:pt>
                <c:pt idx="74">
                  <c:v>251.4404850500205</c:v>
                </c:pt>
                <c:pt idx="75">
                  <c:v>241.05724428188401</c:v>
                </c:pt>
                <c:pt idx="76">
                  <c:v>224.38026487041699</c:v>
                </c:pt>
                <c:pt idx="77">
                  <c:v>224.38026487041699</c:v>
                </c:pt>
                <c:pt idx="78">
                  <c:v>209.739692547478</c:v>
                </c:pt>
                <c:pt idx="79">
                  <c:v>226.28077630597551</c:v>
                </c:pt>
                <c:pt idx="80">
                  <c:v>225.32851688727351</c:v>
                </c:pt>
                <c:pt idx="81">
                  <c:v>224.38026487041699</c:v>
                </c:pt>
                <c:pt idx="82">
                  <c:v>242.07597477585199</c:v>
                </c:pt>
                <c:pt idx="83">
                  <c:v>215.11447653364851</c:v>
                </c:pt>
                <c:pt idx="84">
                  <c:v>205.363434036618</c:v>
                </c:pt>
                <c:pt idx="85">
                  <c:v>198.550554026415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A-4542-8DD0-CCC27EB94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7620</xdr:rowOff>
    </xdr:from>
    <xdr:to>
      <xdr:col>1</xdr:col>
      <xdr:colOff>3169920</xdr:colOff>
      <xdr:row>38</xdr:row>
      <xdr:rowOff>80010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E0D478C-B40A-D353-5D13-2C90FDBB8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R2" totalsRowShown="0" headerRowDxfId="56" dataDxfId="55">
  <autoFilter ref="A1:R2" xr:uid="{7EB9CA7B-F9F7-4B65-BAF9-0554C4DD3A3C}"/>
  <tableColumns count="18">
    <tableColumn id="1" xr3:uid="{8E3D1E9D-FBEE-441F-8710-5037CD4F23F4}" name="Article DOI" dataDxfId="54"/>
    <tableColumn id="11" xr3:uid="{DB748F3A-E0FD-40A7-AD76-C03A14000D6D}" name="Authors" dataDxfId="53"/>
    <tableColumn id="8" xr3:uid="{5AA73CAD-51B7-41DD-94EB-F60F774B9687}" name="Article year" dataDxfId="52"/>
    <tableColumn id="2" xr3:uid="{06FA6682-59D0-409F-9A0C-E6CD1808F355}" name="Material name" dataDxfId="51"/>
    <tableColumn id="3" xr3:uid="{576FC30A-97BD-425F-92F2-9A2823474F7C}" name="Young's modulus (MPa)" dataDxfId="50"/>
    <tableColumn id="4" xr3:uid="{63CF6BC0-ABE3-408E-84A9-EDA0B421D7E2}" name="Poisson's ratio (-)" dataDxfId="49"/>
    <tableColumn id="5" xr3:uid="{BF08D467-4D62-4CAB-A94F-0030F94E8A2E}" name="Tensile strength (MPa)" dataDxfId="48"/>
    <tableColumn id="6" xr3:uid="{CDCD2563-ECD7-4843-B859-5F7762FE830B}" name="Yield strength (MPa)" dataDxfId="47"/>
    <tableColumn id="7" xr3:uid="{7991DD6F-6040-4C6F-AEB4-2211698F999C}" name="Tensile fatigue limit* (MPa)" dataDxfId="46"/>
    <tableColumn id="9" xr3:uid="{C339353B-B530-41A6-97D0-BD9E3EFB3E1B}" name="Torsional fatigue limit* (MPa)" dataDxfId="45"/>
    <tableColumn id="10" xr3:uid="{EC242BA9-DE01-42A2-8C6C-75459CDE529E}" name="K" dataDxfId="44">
      <calculatedColumnFormula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calculatedColumnFormula>
    </tableColumn>
    <tableColumn id="12" xr3:uid="{F805A17B-98C8-4AF7-B29D-E533FCA4609C}" name="k FS (-)" dataDxfId="43"/>
    <tableColumn id="13" xr3:uid="{DF85EA81-C69C-479A-8822-53BA3E02C89C}" name="k FI (-)" dataDxfId="42"/>
    <tableColumn id="14" xr3:uid="{35130532-57CF-4291-B482-8F69933D37C3}" name="L_LI" dataDxfId="41"/>
    <tableColumn id="15" xr3:uid="{89C41836-28AD-4F5C-B2FC-B4B81356B0D9}" name="k_MGSE" dataDxfId="40"/>
    <tableColumn id="16" xr3:uid="{E484E8F2-9C2A-4B6E-8C9E-B20C6A0B3674}" name="a_MSWT" dataDxfId="39"/>
    <tableColumn id="17" xr3:uid="{0C0601AF-3FDB-4470-BA9A-9486C6A7F776}" name="alpha_w" dataDxfId="38"/>
    <tableColumn id="18" xr3:uid="{D55FACDF-AAC7-4A53-A64A-D0B8B00853C3}" name="xi_ZHU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I87" totalsRowShown="0" headerRowDxfId="36" dataDxfId="35">
  <autoFilter ref="A1:AI87" xr:uid="{86243907-AA5D-4F4D-8699-490D77B21127}"/>
  <tableColumns count="35">
    <tableColumn id="31" xr3:uid="{05937513-BC98-44D1-A5DC-F19589B15DDF}" name="Authors" dataDxfId="34"/>
    <tableColumn id="32" xr3:uid="{DCBCBA66-A67E-429B-A752-67A81643133E}" name="Article year" dataDxfId="33"/>
    <tableColumn id="1" xr3:uid="{3EF58343-2BF6-4DB2-9106-D379EEF2D80C}" name="Article DOI" dataDxfId="32">
      <calculatedColumnFormula>Summary!#REF!</calculatedColumnFormula>
    </tableColumn>
    <tableColumn id="30" xr3:uid="{FA5CACDD-A594-4207-9BA7-C7F165153D5B}" name="Specimen name" dataDxfId="31"/>
    <tableColumn id="2" xr3:uid="{19DD8629-B305-4804-A689-1057FBADF71C}" name="Number of cycles to failure" dataDxfId="30"/>
    <tableColumn id="4" xr3:uid="{27575528-FAA3-4B4C-8860-7A7CFCB79DBE}" name="Run out (Yes/No)" dataDxfId="29"/>
    <tableColumn id="3" xr3:uid="{0CF78E1F-0EC3-474A-B3FD-519C01702157}" name="Failure type (complete rupture/stiffness decrease)" dataDxfId="28"/>
    <tableColumn id="26" xr3:uid="{05D9D755-9B11-40C9-8DCB-B9E39E20FA04}" name="Geometry picture" dataDxfId="27"/>
    <tableColumn id="33" xr3:uid="{936299CD-E030-4427-B1AB-D5CB204A04BE}" name="Geometry type (flat/cylindrical)" dataDxfId="26"/>
    <tableColumn id="34" xr3:uid="{09266E8F-9B14-40D4-88AB-80CC92F93BA2}" name="Notched" dataDxfId="25"/>
    <tableColumn id="27" xr3:uid="{D5A8CCC0-542A-450B-8F88-B47472F29E40}" name="Diameter (mm)" dataDxfId="24"/>
    <tableColumn id="28" xr3:uid="{36725B61-E4CB-4B7E-AF40-7F3BC6BE6CB3}" name="Area (mm^2)" dataDxfId="23">
      <calculatedColumnFormula>PI()*(Tabella2[[#This Row],[Diameter (mm)]]/2)^2</calculatedColumnFormula>
    </tableColumn>
    <tableColumn id="29" xr3:uid="{ADA51E38-565E-4B07-AA7F-4531D7FB559A}" name="Polar momento of inertia (mm^4)" dataDxfId="22">
      <calculatedColumnFormula>(PI()*Tabella2[[#This Row],[Diameter (mm)]]^4)/32</calculatedColumnFormula>
    </tableColumn>
    <tableColumn id="21" xr3:uid="{C8363B8B-B0C3-4670-AE9B-A3DF1F1D9748}" name="Phase radial load (°)" dataDxfId="21"/>
    <tableColumn id="22" xr3:uid="{9A8358C3-645B-4F7B-A800-BF2013564F31}" name="Phase torsional load (°)" dataDxfId="20"/>
    <tableColumn id="23" xr3:uid="{9724DA05-688A-43E5-9AAC-5035994CD3C7}" name="Load ratio (RADIAL)" dataDxfId="19"/>
    <tableColumn id="24" xr3:uid="{5794A9BC-D825-4DEA-82F2-22B1FB825367}" name="Load ratio (AXIAL)" dataDxfId="18"/>
    <tableColumn id="25" xr3:uid="{A209A6A1-8B94-4DAE-9AD9-68A32BB08635}" name="Load ratio (TORSIONAL)" dataDxfId="17"/>
    <tableColumn id="5" xr3:uid="{A0FF1031-7EB5-4BFE-B59F-07965E377818}" name="Mean RADIAL stress  (MPa)" dataDxfId="16">
      <calculatedColumnFormula>IF(ISNUMBER(Tabella2[[#This Row],[Amplitute RADIAL stress  (MPa)]]), (1+Tabella2[[#This Row],[Load ratio (RADIAL)]])*Tabella2[[#This Row],[Amplitute RADIAL stress  (MPa)]]/(1-Tabella2[[#This Row],[Load ratio (RADIAL)]]), "Null")</calculatedColumnFormula>
    </tableColumn>
    <tableColumn id="6" xr3:uid="{CFA41242-20EF-4D5D-9025-FC3F232CBE04}" name="Amplitute RADIAL stress  (MPa)" dataDxfId="15"/>
    <tableColumn id="7" xr3:uid="{5CAC5608-D280-45C3-AE90-509A4A6A1487}" name="Mean AXIAL stress  (MPa)" dataDxfId="14">
      <calculatedColumnFormula>IF(ISNUMBER(Tabella2[[#This Row],[Amplitute AXIAL stress  (MPa)]]), (1+Tabella2[[#This Row],[Load ratio (AXIAL)]])*Tabella2[[#This Row],[Amplitute AXIAL stress  (MPa)]]/(1-Tabella2[[#This Row],[Load ratio (AXIAL)]]), "Null")</calculatedColumnFormula>
    </tableColumn>
    <tableColumn id="8" xr3:uid="{933ACC34-FA80-47BE-87CF-5D7D742564A2}" name="Amplitute AXIAL stress  (MPa)" dataDxfId="13"/>
    <tableColumn id="9" xr3:uid="{A6A7850B-F861-49F2-8B93-D445639EFEC2}" name="Mean SHEAR stress  (MPa)" dataDxfId="12">
      <calculatedColumnFormula>IF(ISNUMBER(Tabella2[[#This Row],[Amplitute SHEAR stress  (MPa)]]), (1+Tabella2[[#This Row],[Load ratio (TORSIONAL)]])*Tabella2[[#This Row],[Amplitute SHEAR stress  (MPa)]]/(1-Tabella2[[#This Row],[Load ratio (TORSIONAL)]]), "Null")</calculatedColumnFormula>
    </tableColumn>
    <tableColumn id="10" xr3:uid="{2FCDB52E-3BD8-4D04-8689-303C003D64AE}" name="Amplitute SHEAR stress  (MPa)" dataDxfId="11"/>
    <tableColumn id="11" xr3:uid="{55A815C1-60F5-4742-964D-FCD9116BB3D3}" name="Mean internal pressure  (MPa)" dataDxfId="10">
      <calculatedColumnFormula>Tabella2[[#This Row],[Mean RADIAL stress  (MPa)]]</calculatedColumnFormula>
    </tableColumn>
    <tableColumn id="12" xr3:uid="{A3A206A7-7207-472E-A9D8-013B3CFCAFCB}" name="Amplitute internal pressure  (MPa)" dataDxfId="9">
      <calculatedColumnFormula>Tabella2[[#This Row],[Amplitute RADIAL stress  (MPa)]]</calculatedColumnFormula>
    </tableColumn>
    <tableColumn id="13" xr3:uid="{59F23F77-C462-42EF-A7B8-BCE0399B2282}" name="Maximum internal pressure  (MPa)" dataDxfId="8">
      <calculatedColumnFormula>IF( AND(ISNUMBER(Tabella2[[#This Row],[Mean internal pressure  (MPa)]]), ISNUMBER(Tabella2[[#This Row],[Amplitute internal pressure  (MPa)]])),Tabella2[[#This Row],[Mean internal pressure  (MPa)]]+Tabella2[[#This Row],[Amplitute internal pressure  (MPa)]],"Null")</calculatedColumnFormula>
    </tableColumn>
    <tableColumn id="14" xr3:uid="{B1691BE1-3E2F-4716-9F3A-1870C13BFA59}" name="Mean AXIAL force (N)" dataDxfId="7">
      <calculatedColumnFormula>IF( AND(ISNUMBER(Tabella2[[#This Row],[Mean AXIAL stress  (MPa)]]), ISNUMBER(Tabella2[[#This Row],[Area (mm^2)]])), Tabella2[[#This Row],[Mean AXIAL stress  (MPa)]]*Tabella2[[#This Row],[Area (mm^2)]], "Null")</calculatedColumnFormula>
    </tableColumn>
    <tableColumn id="15" xr3:uid="{39679A56-909C-45C5-BD65-6A002D6E966C}" name="Amplitude AXIAL force (N)" dataDxfId="6">
      <calculatedColumnFormula>IF( AND(ISNUMBER(Tabella2[[#This Row],[Amplitute AXIAL stress  (MPa)]]), ISNUMBER(Tabella2[[#This Row],[Area (mm^2)]])), Tabella2[[#This Row],[Amplitute AXIAL stress  (MPa)]]*Tabella2[[#This Row],[Area (mm^2)]],"Null")</calculatedColumnFormula>
    </tableColumn>
    <tableColumn id="16" xr3:uid="{BA732604-A227-4A18-87FA-051A485B9FD0}" name="Maximum AXIAL force (N)" dataDxfId="5">
      <calculatedColumnFormula>IF( AND(ISNUMBER(Tabella2[[#This Row],[Amplitude AXIAL force (N)]]), ISNUMBER(Tabella2[[#This Row],[Mean AXIAL force (N)]])), Tabella2[[#This Row],[Amplitude AXIAL force (N)]]+Tabella2[[#This Row],[Mean AXIAL force (N)]],"Null")</calculatedColumnFormula>
    </tableColumn>
    <tableColumn id="17" xr3:uid="{B9FCDDAE-82CF-4FB8-907C-A1558D43EF84}" name="Mean TORQUE (Nmm)" dataDxfId="4">
      <calculatedColumnFormula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calculatedColumnFormula>
    </tableColumn>
    <tableColumn id="18" xr3:uid="{C66D42EC-66DD-4028-A153-9A90E5649F9D}" name="Amplitude TORQUE (Nmm)" dataDxfId="3">
      <calculatedColumnFormula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calculatedColumnFormula>
    </tableColumn>
    <tableColumn id="19" xr3:uid="{F5448A01-6717-4E64-935F-BD7FC3289F3F}" name="Maximum TORQUE (Nmm)" dataDxfId="2">
      <calculatedColumnFormula>IF(
   AND(ISNUMBER(Tabella2[[#This Row],[Mean TORQUE (Nmm)]]), ISNUMBER(Tabella2[[#This Row],[Amplitude TORQUE (Nmm)]])),
   Tabella2[[#This Row],[Mean TORQUE (Nmm)]]+Tabella2[[#This Row],[Amplitude TORQUE (Nmm)]],
   "Null"
)</calculatedColumnFormula>
    </tableColumn>
    <tableColumn id="35" xr3:uid="{E2D5C20A-0DF5-4252-870D-17C0A6FDC533}" name="Amplitude von Mises (MPa)" dataDxfId="1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  <tableColumn id="20" xr3:uid="{D27EA8AC-AA88-4708-8985-FCB1FE48E26F}" name="Lambda (tauA/sigmaA)" dataDxfId="0">
      <calculatedColumnFormula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5" zoomScale="130" zoomScaleNormal="130" workbookViewId="0">
      <selection activeCell="C32" sqref="C32"/>
    </sheetView>
  </sheetViews>
  <sheetFormatPr defaultRowHeight="15" x14ac:dyDescent="0.25"/>
  <cols>
    <col min="1" max="1" width="29.140625" bestFit="1" customWidth="1"/>
    <col min="2" max="2" width="46.7109375" bestFit="1" customWidth="1"/>
    <col min="3" max="3" width="42.28515625" bestFit="1" customWidth="1"/>
    <col min="4" max="4" width="17.7109375" bestFit="1" customWidth="1"/>
    <col min="5" max="5" width="25.7109375" bestFit="1" customWidth="1"/>
    <col min="6" max="6" width="20" bestFit="1" customWidth="1"/>
    <col min="7" max="7" width="24.5703125" bestFit="1" customWidth="1"/>
    <col min="8" max="8" width="22.7109375" bestFit="1" customWidth="1"/>
    <col min="9" max="9" width="28.7109375" bestFit="1" customWidth="1"/>
    <col min="10" max="10" width="30.7109375" bestFit="1" customWidth="1"/>
    <col min="11" max="11" width="9.28515625" bestFit="1" customWidth="1"/>
    <col min="12" max="12" width="11.28515625" bestFit="1" customWidth="1"/>
    <col min="13" max="13" width="10.7109375" bestFit="1" customWidth="1"/>
  </cols>
  <sheetData>
    <row r="1" spans="1:18" x14ac:dyDescent="0.25">
      <c r="A1" s="2" t="s">
        <v>0</v>
      </c>
      <c r="B1" s="2" t="s">
        <v>42</v>
      </c>
      <c r="C1" s="2" t="s">
        <v>41</v>
      </c>
      <c r="D1" s="2" t="s">
        <v>1</v>
      </c>
      <c r="E1" s="2" t="s">
        <v>36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40</v>
      </c>
      <c r="K1" s="1" t="s">
        <v>5</v>
      </c>
      <c r="L1" s="2" t="s">
        <v>149</v>
      </c>
      <c r="M1" s="2" t="s">
        <v>150</v>
      </c>
      <c r="N1" s="2" t="s">
        <v>151</v>
      </c>
      <c r="O1" s="2" t="s">
        <v>152</v>
      </c>
      <c r="P1" s="2" t="s">
        <v>153</v>
      </c>
      <c r="Q1" s="2" t="s">
        <v>154</v>
      </c>
      <c r="R1" s="2" t="s">
        <v>155</v>
      </c>
    </row>
    <row r="2" spans="1:18" ht="15.75" thickBot="1" x14ac:dyDescent="0.3">
      <c r="A2" s="1" t="s">
        <v>53</v>
      </c>
      <c r="B2" s="1" t="s">
        <v>52</v>
      </c>
      <c r="C2" s="1">
        <v>2018</v>
      </c>
      <c r="D2" s="1" t="s">
        <v>54</v>
      </c>
      <c r="E2" s="1">
        <v>174000</v>
      </c>
      <c r="F2" s="1">
        <v>0.27</v>
      </c>
      <c r="G2" s="1">
        <v>585</v>
      </c>
      <c r="H2" s="1">
        <v>265</v>
      </c>
      <c r="I2" s="1">
        <v>241</v>
      </c>
      <c r="J2" s="1">
        <v>144</v>
      </c>
      <c r="K2" s="1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1.6736111111111112</v>
      </c>
      <c r="L2" s="1">
        <v>0.62</v>
      </c>
      <c r="M2" s="1">
        <v>0.28000000000000003</v>
      </c>
      <c r="N2" s="1">
        <v>2.13</v>
      </c>
      <c r="O2" s="1">
        <v>0.5</v>
      </c>
      <c r="P2" s="1">
        <v>0.36</v>
      </c>
      <c r="Q2" s="1">
        <v>0</v>
      </c>
      <c r="R2" s="1">
        <v>0</v>
      </c>
    </row>
    <row r="3" spans="1:18" x14ac:dyDescent="0.25">
      <c r="A3" s="14" t="s">
        <v>39</v>
      </c>
      <c r="B3" s="15"/>
      <c r="C3" s="15"/>
      <c r="D3" s="16"/>
      <c r="E3" s="3">
        <f>IF(COUNT(Tabella1[Young''s modulus (MPa)])=0, "Null", AVERAGE(Tabella1[Young''s modulus (MPa)]))</f>
        <v>174000</v>
      </c>
      <c r="F3" s="3">
        <f>IF(COUNT(Tabella1[Poisson''s ratio (-)])=0, "Null", AVERAGE(Tabella1[Poisson''s ratio (-)]))</f>
        <v>0.27</v>
      </c>
      <c r="G3" s="3">
        <f>IF(COUNT(Tabella1[Tensile strength (MPa)])=0, "Null", AVERAGE(Tabella1[Tensile strength (MPa)]))</f>
        <v>585</v>
      </c>
      <c r="H3" s="3">
        <f>IF(COUNT(Tabella1[Yield strength (MPa)])=0, "Null", AVERAGE(Tabella1[Yield strength (MPa)]))</f>
        <v>265</v>
      </c>
      <c r="I3" s="3">
        <f>IF(COUNT(Tabella1[Tensile fatigue limit* (MPa)])=0, "Null", AVERAGE(Tabella1[Tensile fatigue limit* (MPa)]))</f>
        <v>241</v>
      </c>
      <c r="J3" s="3">
        <f>IF(COUNT(Tabella1[Torsional fatigue limit* (MPa)])=0, "Null", AVERAGE(Tabella1[Torsional fatigue limit* (MPa)]))</f>
        <v>144</v>
      </c>
      <c r="K3" s="4">
        <f>IF(COUNT(Tabella1[K])=0, "Null", AVERAGE(Tabella1[K]))</f>
        <v>1.6736111111111112</v>
      </c>
      <c r="L3" s="4">
        <f>IF(COUNT(Tabella1[k FS (-)])=0, "Null", AVERAGE(Tabella1[k FS (-)]))</f>
        <v>0.62</v>
      </c>
      <c r="M3" s="4">
        <f>IF(COUNT(Tabella1[k FI (-)])=0, "Null", AVERAGE(Tabella1[k FI (-)]))</f>
        <v>0.28000000000000003</v>
      </c>
      <c r="N3" s="4">
        <f>IF(COUNT(Tabella1[L_LI])=0, "Null", AVERAGE(Tabella1[L_LI]))</f>
        <v>2.13</v>
      </c>
      <c r="O3" s="4">
        <f>IF(COUNT(Tabella1[k_MGSE])=0, "Null", AVERAGE(Tabella1[k_MGSE]))</f>
        <v>0.5</v>
      </c>
      <c r="P3" s="4">
        <f>IF(COUNT(Tabella1[a_MSWT])=0, "Null", AVERAGE(Tabella1[a_MSWT]))</f>
        <v>0.36</v>
      </c>
      <c r="Q3" s="4">
        <f>IF(COUNT(Tabella1[alpha_w])=0, "Null", AVERAGE(Tabella1[alpha_w]))</f>
        <v>0</v>
      </c>
      <c r="R3" s="4">
        <f>IF(COUNT(Tabella1[xi_ZHU])=0, "Null", AVERAGE(Tabella1[xi_ZHU]))</f>
        <v>0</v>
      </c>
    </row>
    <row r="4" spans="1:18" ht="15.75" thickBot="1" x14ac:dyDescent="0.3">
      <c r="A4" s="17" t="s">
        <v>38</v>
      </c>
      <c r="B4" s="18"/>
      <c r="C4" s="18"/>
      <c r="D4" s="19"/>
      <c r="E4" s="5">
        <v>200</v>
      </c>
      <c r="F4" s="5">
        <f>IF(COUNT(Tabella1[Poisson''s ratio (-)])=0, "Null", _xlfn.STDEV.P(Tabella1[Poisson''s ratio (-)]))</f>
        <v>0</v>
      </c>
      <c r="G4" s="5">
        <v>5</v>
      </c>
      <c r="H4" s="5">
        <v>5</v>
      </c>
      <c r="I4" s="5">
        <f>IF(COUNT(Tabella1[Tensile fatigue limit* (MPa)])=0, "Null", _xlfn.STDEV.P(Tabella1[Tensile fatigue limit* (MPa)]))</f>
        <v>0</v>
      </c>
      <c r="J4" s="5">
        <f>IF(COUNT(Tabella1[Torsional fatigue limit* (MPa)])=0, "Null", _xlfn.STDEV.P(Tabella1[Torsional fatigue limit* (MPa)]))</f>
        <v>0</v>
      </c>
      <c r="K4" s="6">
        <f>IF(COUNT(Tabella1[K])=0, "Null", _xlfn.STDEV.P(Tabella1[K]))</f>
        <v>0</v>
      </c>
      <c r="L4" s="6">
        <f>IF(COUNT(Tabella1[k FS (-)])=0, "Null", _xlfn.STDEV.P(Tabella1[k FS (-)]))</f>
        <v>0</v>
      </c>
      <c r="M4" s="6">
        <f>IF(COUNT(Tabella1[k FI (-)])=0, "Null", _xlfn.STDEV.P(Tabella1[k FI (-)]))</f>
        <v>0</v>
      </c>
      <c r="N4" s="6">
        <f>IF(COUNT(Tabella1[L_LI])=0, "Null", _xlfn.STDEV.P(Tabella1[L_LI]))</f>
        <v>0</v>
      </c>
      <c r="O4" s="6">
        <f>IF(COUNT(Tabella1[k_MGSE])=0, "Null", _xlfn.STDEV.P(Tabella1[k_MGSE]))</f>
        <v>0</v>
      </c>
      <c r="P4" s="6">
        <f>IF(COUNT(Tabella1[a_MSWT])=0, "Null", _xlfn.STDEV.P(Tabella1[a_MSWT]))</f>
        <v>0</v>
      </c>
      <c r="Q4" s="6">
        <f>IF(COUNT(Tabella1[alpha_w])=0, "Null", _xlfn.STDEV.P(Tabella1[alpha_w]))</f>
        <v>0</v>
      </c>
      <c r="R4" s="6">
        <f>IF(COUNT(Tabella1[xi_ZHU])=0, "Null", _xlfn.STDEV.P(Tabella1[xi_ZHU]))</f>
        <v>0</v>
      </c>
    </row>
    <row r="9" spans="1:18" ht="15.75" thickBot="1" x14ac:dyDescent="0.3"/>
    <row r="10" spans="1:18" x14ac:dyDescent="0.25">
      <c r="A10" s="20" t="s">
        <v>47</v>
      </c>
      <c r="B10" s="9" t="s">
        <v>48</v>
      </c>
    </row>
    <row r="11" spans="1:18" ht="15.75" thickBot="1" x14ac:dyDescent="0.3">
      <c r="A11" s="21"/>
      <c r="B11" s="10" t="s">
        <v>49</v>
      </c>
    </row>
    <row r="24" spans="3:3" x14ac:dyDescent="0.25">
      <c r="C24" s="12" t="s">
        <v>148</v>
      </c>
    </row>
    <row r="25" spans="3:3" x14ac:dyDescent="0.25">
      <c r="C25" s="13">
        <f>COUNTA(Tabella2[Authors])</f>
        <v>86</v>
      </c>
    </row>
  </sheetData>
  <mergeCells count="3">
    <mergeCell ref="A3:D3"/>
    <mergeCell ref="A4:D4"/>
    <mergeCell ref="A10:A11"/>
  </mergeCells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J99"/>
  <sheetViews>
    <sheetView topLeftCell="F57" zoomScale="85" zoomScaleNormal="85" workbookViewId="0">
      <selection activeCell="A92" sqref="A92:B119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29.5703125" bestFit="1" customWidth="1"/>
    <col min="4" max="4" width="20" bestFit="1" customWidth="1"/>
    <col min="5" max="5" width="28.28515625" bestFit="1" customWidth="1"/>
    <col min="6" max="6" width="48.28515625" bestFit="1" customWidth="1"/>
    <col min="7" max="7" width="51.7109375" bestFit="1" customWidth="1"/>
    <col min="8" max="8" width="25.7109375" customWidth="1"/>
    <col min="9" max="9" width="29.140625" customWidth="1"/>
    <col min="10" max="10" width="24.42578125" customWidth="1"/>
    <col min="11" max="11" width="27.85546875" customWidth="1"/>
    <col min="12" max="12" width="34.28515625" bestFit="1" customWidth="1"/>
    <col min="13" max="13" width="35.85546875" bestFit="1" customWidth="1"/>
    <col min="14" max="14" width="28.28515625" customWidth="1"/>
    <col min="15" max="15" width="31.7109375" customWidth="1"/>
    <col min="16" max="16" width="35.140625" bestFit="1" customWidth="1"/>
    <col min="17" max="17" width="23.85546875" bestFit="1" customWidth="1"/>
    <col min="18" max="18" width="27.85546875" bestFit="1" customWidth="1"/>
    <col min="19" max="19" width="27.7109375" bestFit="1" customWidth="1"/>
    <col min="20" max="20" width="32.140625" bestFit="1" customWidth="1"/>
    <col min="21" max="21" width="27.28515625" bestFit="1" customWidth="1"/>
    <col min="22" max="22" width="30.85546875" bestFit="1" customWidth="1"/>
    <col min="23" max="23" width="27.85546875" bestFit="1" customWidth="1"/>
    <col min="24" max="24" width="31.42578125" bestFit="1" customWidth="1"/>
    <col min="25" max="25" width="31.28515625" bestFit="1" customWidth="1"/>
    <col min="26" max="26" width="34.85546875" bestFit="1" customWidth="1"/>
    <col min="27" max="27" width="35.140625" bestFit="1" customWidth="1"/>
    <col min="28" max="28" width="25.7109375" bestFit="1" customWidth="1"/>
    <col min="29" max="29" width="27.85546875" bestFit="1" customWidth="1"/>
    <col min="30" max="30" width="33.7109375" bestFit="1" customWidth="1"/>
    <col min="31" max="31" width="33.7109375" customWidth="1"/>
    <col min="32" max="32" width="28.5703125" bestFit="1" customWidth="1"/>
    <col min="33" max="33" width="28.28515625" bestFit="1" customWidth="1"/>
    <col min="34" max="34" width="28.5703125" customWidth="1"/>
    <col min="35" max="35" width="34.28515625" bestFit="1" customWidth="1"/>
    <col min="36" max="36" width="18.5703125" bestFit="1" customWidth="1"/>
  </cols>
  <sheetData>
    <row r="1" spans="1:36" x14ac:dyDescent="0.25">
      <c r="A1" s="2" t="s">
        <v>42</v>
      </c>
      <c r="B1" s="2" t="s">
        <v>41</v>
      </c>
      <c r="C1" s="2" t="s">
        <v>0</v>
      </c>
      <c r="D1" s="2" t="s">
        <v>33</v>
      </c>
      <c r="E1" s="2" t="s">
        <v>6</v>
      </c>
      <c r="F1" s="2" t="s">
        <v>7</v>
      </c>
      <c r="G1" s="2" t="s">
        <v>32</v>
      </c>
      <c r="H1" s="2" t="s">
        <v>29</v>
      </c>
      <c r="I1" s="2" t="s">
        <v>44</v>
      </c>
      <c r="J1" s="2" t="s">
        <v>46</v>
      </c>
      <c r="K1" s="2" t="s">
        <v>30</v>
      </c>
      <c r="L1" s="2" t="s">
        <v>66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1" t="s">
        <v>8</v>
      </c>
      <c r="T1" s="2" t="s">
        <v>9</v>
      </c>
      <c r="U1" s="1" t="s">
        <v>10</v>
      </c>
      <c r="V1" s="2" t="s">
        <v>11</v>
      </c>
      <c r="W1" s="1" t="s">
        <v>12</v>
      </c>
      <c r="X1" s="2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20</v>
      </c>
      <c r="AH1" s="1" t="s">
        <v>147</v>
      </c>
      <c r="AI1" s="1" t="s">
        <v>23</v>
      </c>
    </row>
    <row r="2" spans="1:36" ht="15" customHeight="1" x14ac:dyDescent="0.25">
      <c r="A2" s="1" t="s">
        <v>52</v>
      </c>
      <c r="B2" s="1">
        <v>2018</v>
      </c>
      <c r="C2" s="1" t="s">
        <v>51</v>
      </c>
      <c r="D2" s="1" t="s">
        <v>56</v>
      </c>
      <c r="E2" s="8">
        <v>11000000</v>
      </c>
      <c r="F2" s="1" t="s">
        <v>50</v>
      </c>
      <c r="G2" s="1" t="s">
        <v>67</v>
      </c>
      <c r="H2" s="1" t="e" vm="1">
        <v>#VALUE!</v>
      </c>
      <c r="I2" s="1" t="s">
        <v>65</v>
      </c>
      <c r="J2" s="1" t="s">
        <v>34</v>
      </c>
      <c r="K2" s="1">
        <v>11</v>
      </c>
      <c r="L2" s="8">
        <f>PI()*(5.5^2-4.5^2)</f>
        <v>31.415926535897931</v>
      </c>
      <c r="M2" s="8">
        <f>PI()*(11^4-9^4)/32</f>
        <v>793.25214503142274</v>
      </c>
      <c r="N2" s="1" t="s">
        <v>35</v>
      </c>
      <c r="O2" s="1" t="s">
        <v>35</v>
      </c>
      <c r="P2" s="1" t="s">
        <v>35</v>
      </c>
      <c r="Q2" s="1">
        <v>-1</v>
      </c>
      <c r="R2" s="1" t="s">
        <v>35</v>
      </c>
      <c r="S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" s="1" t="s">
        <v>35</v>
      </c>
      <c r="U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" s="1">
        <v>230</v>
      </c>
      <c r="W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" s="7" t="s">
        <v>35</v>
      </c>
      <c r="Y2" s="7" t="str">
        <f>Tabella2[[#This Row],[Mean RADIAL stress  (MPa)]]</f>
        <v>Null</v>
      </c>
      <c r="Z2" s="7" t="str">
        <f>Tabella2[[#This Row],[Amplitute RADIAL stress  (MPa)]]</f>
        <v>Null</v>
      </c>
      <c r="AA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" s="8">
        <f>IF( AND(ISNUMBER(Tabella2[[#This Row],[Mean AXIAL stress  (MPa)]]), ISNUMBER(Tabella2[[#This Row],[Area (mm^2)]])), Tabella2[[#This Row],[Mean AXIAL stress  (MPa)]]*Tabella2[[#This Row],[Area (mm^2)]], "Null")</f>
        <v>0</v>
      </c>
      <c r="AC2" s="8">
        <f>IF( AND(ISNUMBER(Tabella2[[#This Row],[Amplitute AXIAL stress  (MPa)]]), ISNUMBER(Tabella2[[#This Row],[Area (mm^2)]])), Tabella2[[#This Row],[Amplitute AXIAL stress  (MPa)]]*Tabella2[[#This Row],[Area (mm^2)]],"Null")</f>
        <v>7225.6631032565238</v>
      </c>
      <c r="AD2" s="8">
        <f>IF( AND(ISNUMBER(Tabella2[[#This Row],[Amplitude AXIAL force (N)]]), ISNUMBER(Tabella2[[#This Row],[Mean AXIAL force (N)]])), Tabella2[[#This Row],[Amplitude AXIAL force (N)]]+Tabella2[[#This Row],[Mean AXIAL force (N)]],"Null")</f>
        <v>7225.6631032565238</v>
      </c>
      <c r="AE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  <c r="AI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2" s="1"/>
    </row>
    <row r="3" spans="1:36" x14ac:dyDescent="0.25">
      <c r="A3" s="1" t="s">
        <v>52</v>
      </c>
      <c r="B3" s="1">
        <v>2018</v>
      </c>
      <c r="C3" s="1" t="s">
        <v>51</v>
      </c>
      <c r="D3" s="1" t="s">
        <v>57</v>
      </c>
      <c r="E3" s="8">
        <v>2474000</v>
      </c>
      <c r="F3" s="1" t="s">
        <v>34</v>
      </c>
      <c r="G3" s="1" t="s">
        <v>67</v>
      </c>
      <c r="H3" s="1" t="e" vm="1">
        <v>#VALUE!</v>
      </c>
      <c r="I3" s="1" t="s">
        <v>65</v>
      </c>
      <c r="J3" s="1" t="s">
        <v>34</v>
      </c>
      <c r="K3" s="1">
        <v>11</v>
      </c>
      <c r="L3" s="8">
        <f t="shared" ref="L3:L28" si="0">PI()*(5.5^2-4.5^2)</f>
        <v>31.415926535897931</v>
      </c>
      <c r="M3" s="8">
        <f t="shared" ref="M3:M28" si="1">PI()*(11^4-9^4)/32</f>
        <v>793.25214503142274</v>
      </c>
      <c r="N3" s="1" t="s">
        <v>35</v>
      </c>
      <c r="O3" s="1" t="s">
        <v>35</v>
      </c>
      <c r="P3" s="1" t="s">
        <v>35</v>
      </c>
      <c r="Q3" s="1">
        <v>-1</v>
      </c>
      <c r="R3" s="1" t="s">
        <v>35</v>
      </c>
      <c r="S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" s="1" t="s">
        <v>35</v>
      </c>
      <c r="U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" s="1">
        <v>235</v>
      </c>
      <c r="W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" s="7" t="s">
        <v>35</v>
      </c>
      <c r="Y3" s="7" t="str">
        <f>Tabella2[[#This Row],[Mean RADIAL stress  (MPa)]]</f>
        <v>Null</v>
      </c>
      <c r="Z3" s="7" t="str">
        <f>Tabella2[[#This Row],[Amplitute RADIAL stress  (MPa)]]</f>
        <v>Null</v>
      </c>
      <c r="AA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" s="8">
        <f>IF( AND(ISNUMBER(Tabella2[[#This Row],[Mean AXIAL stress  (MPa)]]), ISNUMBER(Tabella2[[#This Row],[Area (mm^2)]])), Tabella2[[#This Row],[Mean AXIAL stress  (MPa)]]*Tabella2[[#This Row],[Area (mm^2)]], "Null")</f>
        <v>0</v>
      </c>
      <c r="AC3" s="8">
        <f>IF( AND(ISNUMBER(Tabella2[[#This Row],[Amplitute AXIAL stress  (MPa)]]), ISNUMBER(Tabella2[[#This Row],[Area (mm^2)]])), Tabella2[[#This Row],[Amplitute AXIAL stress  (MPa)]]*Tabella2[[#This Row],[Area (mm^2)]],"Null")</f>
        <v>7382.7427359360136</v>
      </c>
      <c r="AD3" s="8">
        <f>IF( AND(ISNUMBER(Tabella2[[#This Row],[Amplitude AXIAL force (N)]]), ISNUMBER(Tabella2[[#This Row],[Mean AXIAL force (N)]])), Tabella2[[#This Row],[Amplitude AXIAL force (N)]]+Tabella2[[#This Row],[Mean AXIAL force (N)]],"Null")</f>
        <v>7382.7427359360136</v>
      </c>
      <c r="AE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  <c r="AI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3" s="1"/>
    </row>
    <row r="4" spans="1:36" x14ac:dyDescent="0.25">
      <c r="A4" s="1" t="s">
        <v>52</v>
      </c>
      <c r="B4" s="1">
        <v>2018</v>
      </c>
      <c r="C4" s="1" t="s">
        <v>51</v>
      </c>
      <c r="D4" s="1" t="s">
        <v>58</v>
      </c>
      <c r="E4" s="8">
        <v>206000</v>
      </c>
      <c r="F4" s="1" t="s">
        <v>34</v>
      </c>
      <c r="G4" s="1" t="s">
        <v>67</v>
      </c>
      <c r="H4" s="1" t="e" vm="1">
        <v>#VALUE!</v>
      </c>
      <c r="I4" s="1" t="s">
        <v>65</v>
      </c>
      <c r="J4" s="1" t="s">
        <v>34</v>
      </c>
      <c r="K4" s="1">
        <v>11</v>
      </c>
      <c r="L4" s="8">
        <f t="shared" si="0"/>
        <v>31.415926535897931</v>
      </c>
      <c r="M4" s="8">
        <f t="shared" si="1"/>
        <v>793.25214503142274</v>
      </c>
      <c r="N4" s="1" t="s">
        <v>35</v>
      </c>
      <c r="O4" s="1" t="s">
        <v>35</v>
      </c>
      <c r="P4" s="1" t="s">
        <v>35</v>
      </c>
      <c r="Q4" s="1">
        <v>-1</v>
      </c>
      <c r="R4" s="1" t="s">
        <v>35</v>
      </c>
      <c r="S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" s="1" t="s">
        <v>35</v>
      </c>
      <c r="U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" s="1">
        <v>235</v>
      </c>
      <c r="W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" s="7" t="s">
        <v>35</v>
      </c>
      <c r="Y4" s="7" t="str">
        <f>Tabella2[[#This Row],[Mean RADIAL stress  (MPa)]]</f>
        <v>Null</v>
      </c>
      <c r="Z4" s="7" t="str">
        <f>Tabella2[[#This Row],[Amplitute RADIAL stress  (MPa)]]</f>
        <v>Null</v>
      </c>
      <c r="AA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" s="8">
        <f>IF( AND(ISNUMBER(Tabella2[[#This Row],[Mean AXIAL stress  (MPa)]]), ISNUMBER(Tabella2[[#This Row],[Area (mm^2)]])), Tabella2[[#This Row],[Mean AXIAL stress  (MPa)]]*Tabella2[[#This Row],[Area (mm^2)]], "Null")</f>
        <v>0</v>
      </c>
      <c r="AC4" s="8">
        <f>IF( AND(ISNUMBER(Tabella2[[#This Row],[Amplitute AXIAL stress  (MPa)]]), ISNUMBER(Tabella2[[#This Row],[Area (mm^2)]])), Tabella2[[#This Row],[Amplitute AXIAL stress  (MPa)]]*Tabella2[[#This Row],[Area (mm^2)]],"Null")</f>
        <v>7382.7427359360136</v>
      </c>
      <c r="AD4" s="8">
        <f>IF( AND(ISNUMBER(Tabella2[[#This Row],[Amplitude AXIAL force (N)]]), ISNUMBER(Tabella2[[#This Row],[Mean AXIAL force (N)]])), Tabella2[[#This Row],[Amplitude AXIAL force (N)]]+Tabella2[[#This Row],[Mean AXIAL force (N)]],"Null")</f>
        <v>7382.7427359360136</v>
      </c>
      <c r="AE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  <c r="AI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4" s="1"/>
    </row>
    <row r="5" spans="1:36" x14ac:dyDescent="0.25">
      <c r="A5" s="1" t="s">
        <v>52</v>
      </c>
      <c r="B5" s="1">
        <v>2018</v>
      </c>
      <c r="C5" s="1" t="s">
        <v>51</v>
      </c>
      <c r="D5" s="1" t="s">
        <v>59</v>
      </c>
      <c r="E5" s="8">
        <v>11000000</v>
      </c>
      <c r="F5" s="1" t="s">
        <v>50</v>
      </c>
      <c r="G5" s="1" t="s">
        <v>67</v>
      </c>
      <c r="H5" s="1" t="e" vm="1">
        <v>#VALUE!</v>
      </c>
      <c r="I5" s="1" t="s">
        <v>65</v>
      </c>
      <c r="J5" s="1" t="s">
        <v>34</v>
      </c>
      <c r="K5" s="1">
        <v>11</v>
      </c>
      <c r="L5" s="8">
        <f t="shared" si="0"/>
        <v>31.415926535897931</v>
      </c>
      <c r="M5" s="8">
        <f t="shared" si="1"/>
        <v>793.25214503142274</v>
      </c>
      <c r="N5" s="1" t="s">
        <v>35</v>
      </c>
      <c r="O5" s="1" t="s">
        <v>35</v>
      </c>
      <c r="P5" s="1" t="s">
        <v>35</v>
      </c>
      <c r="Q5" s="1">
        <v>-1</v>
      </c>
      <c r="R5" s="1" t="s">
        <v>35</v>
      </c>
      <c r="S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" s="1" t="s">
        <v>35</v>
      </c>
      <c r="U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" s="1">
        <v>235</v>
      </c>
      <c r="W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" s="7" t="s">
        <v>35</v>
      </c>
      <c r="Y5" s="7" t="str">
        <f>Tabella2[[#This Row],[Mean RADIAL stress  (MPa)]]</f>
        <v>Null</v>
      </c>
      <c r="Z5" s="7" t="str">
        <f>Tabella2[[#This Row],[Amplitute RADIAL stress  (MPa)]]</f>
        <v>Null</v>
      </c>
      <c r="AA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" s="8">
        <f>IF( AND(ISNUMBER(Tabella2[[#This Row],[Mean AXIAL stress  (MPa)]]), ISNUMBER(Tabella2[[#This Row],[Area (mm^2)]])), Tabella2[[#This Row],[Mean AXIAL stress  (MPa)]]*Tabella2[[#This Row],[Area (mm^2)]], "Null")</f>
        <v>0</v>
      </c>
      <c r="AC5" s="8">
        <f>IF( AND(ISNUMBER(Tabella2[[#This Row],[Amplitute AXIAL stress  (MPa)]]), ISNUMBER(Tabella2[[#This Row],[Area (mm^2)]])), Tabella2[[#This Row],[Amplitute AXIAL stress  (MPa)]]*Tabella2[[#This Row],[Area (mm^2)]],"Null")</f>
        <v>7382.7427359360136</v>
      </c>
      <c r="AD5" s="8">
        <f>IF( AND(ISNUMBER(Tabella2[[#This Row],[Amplitude AXIAL force (N)]]), ISNUMBER(Tabella2[[#This Row],[Mean AXIAL force (N)]])), Tabella2[[#This Row],[Amplitude AXIAL force (N)]]+Tabella2[[#This Row],[Mean AXIAL force (N)]],"Null")</f>
        <v>7382.7427359360136</v>
      </c>
      <c r="AE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  <c r="AI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5" s="1"/>
    </row>
    <row r="6" spans="1:36" x14ac:dyDescent="0.25">
      <c r="A6" s="1" t="s">
        <v>52</v>
      </c>
      <c r="B6" s="1">
        <v>2018</v>
      </c>
      <c r="C6" s="1" t="s">
        <v>51</v>
      </c>
      <c r="D6" s="1" t="s">
        <v>60</v>
      </c>
      <c r="E6" s="8">
        <v>116000</v>
      </c>
      <c r="F6" s="1" t="s">
        <v>34</v>
      </c>
      <c r="G6" s="1" t="s">
        <v>67</v>
      </c>
      <c r="H6" s="1" t="e" vm="1">
        <v>#VALUE!</v>
      </c>
      <c r="I6" s="1" t="s">
        <v>65</v>
      </c>
      <c r="J6" s="1" t="s">
        <v>34</v>
      </c>
      <c r="K6" s="1">
        <v>11</v>
      </c>
      <c r="L6" s="8">
        <f t="shared" si="0"/>
        <v>31.415926535897931</v>
      </c>
      <c r="M6" s="8">
        <f t="shared" si="1"/>
        <v>793.25214503142274</v>
      </c>
      <c r="N6" s="1" t="s">
        <v>35</v>
      </c>
      <c r="O6" s="1" t="s">
        <v>35</v>
      </c>
      <c r="P6" s="1" t="s">
        <v>35</v>
      </c>
      <c r="Q6" s="1">
        <v>-1</v>
      </c>
      <c r="R6" s="1" t="s">
        <v>35</v>
      </c>
      <c r="S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" s="1" t="s">
        <v>35</v>
      </c>
      <c r="U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" s="1">
        <v>240</v>
      </c>
      <c r="W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" s="7" t="s">
        <v>35</v>
      </c>
      <c r="Y6" s="7" t="str">
        <f>Tabella2[[#This Row],[Mean RADIAL stress  (MPa)]]</f>
        <v>Null</v>
      </c>
      <c r="Z6" s="7" t="str">
        <f>Tabella2[[#This Row],[Amplitute RADIAL stress  (MPa)]]</f>
        <v>Null</v>
      </c>
      <c r="AA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" s="8">
        <f>IF( AND(ISNUMBER(Tabella2[[#This Row],[Mean AXIAL stress  (MPa)]]), ISNUMBER(Tabella2[[#This Row],[Area (mm^2)]])), Tabella2[[#This Row],[Mean AXIAL stress  (MPa)]]*Tabella2[[#This Row],[Area (mm^2)]], "Null")</f>
        <v>0</v>
      </c>
      <c r="AC6" s="8">
        <f>IF( AND(ISNUMBER(Tabella2[[#This Row],[Amplitute AXIAL stress  (MPa)]]), ISNUMBER(Tabella2[[#This Row],[Area (mm^2)]])), Tabella2[[#This Row],[Amplitute AXIAL stress  (MPa)]]*Tabella2[[#This Row],[Area (mm^2)]],"Null")</f>
        <v>7539.8223686155034</v>
      </c>
      <c r="AD6" s="8">
        <f>IF( AND(ISNUMBER(Tabella2[[#This Row],[Amplitude AXIAL force (N)]]), ISNUMBER(Tabella2[[#This Row],[Mean AXIAL force (N)]])), Tabella2[[#This Row],[Amplitude AXIAL force (N)]]+Tabella2[[#This Row],[Mean AXIAL force (N)]],"Null")</f>
        <v>7539.8223686155034</v>
      </c>
      <c r="AE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  <c r="AI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6" s="1"/>
    </row>
    <row r="7" spans="1:36" x14ac:dyDescent="0.25">
      <c r="A7" s="1" t="s">
        <v>52</v>
      </c>
      <c r="B7" s="1">
        <v>2018</v>
      </c>
      <c r="C7" s="1" t="s">
        <v>51</v>
      </c>
      <c r="D7" s="1" t="s">
        <v>61</v>
      </c>
      <c r="E7" s="8">
        <v>158000</v>
      </c>
      <c r="F7" s="1" t="s">
        <v>34</v>
      </c>
      <c r="G7" s="1" t="s">
        <v>67</v>
      </c>
      <c r="H7" s="1" t="e" vm="1">
        <v>#VALUE!</v>
      </c>
      <c r="I7" s="1" t="s">
        <v>65</v>
      </c>
      <c r="J7" s="1" t="s">
        <v>34</v>
      </c>
      <c r="K7" s="1">
        <v>11</v>
      </c>
      <c r="L7" s="8">
        <f t="shared" si="0"/>
        <v>31.415926535897931</v>
      </c>
      <c r="M7" s="8">
        <f t="shared" si="1"/>
        <v>793.25214503142274</v>
      </c>
      <c r="N7" s="1" t="s">
        <v>35</v>
      </c>
      <c r="O7" s="1" t="s">
        <v>35</v>
      </c>
      <c r="P7" s="1" t="s">
        <v>35</v>
      </c>
      <c r="Q7" s="1">
        <v>-1</v>
      </c>
      <c r="R7" s="1" t="s">
        <v>35</v>
      </c>
      <c r="S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" s="1" t="s">
        <v>35</v>
      </c>
      <c r="U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7" s="1">
        <v>240</v>
      </c>
      <c r="W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" s="7" t="s">
        <v>35</v>
      </c>
      <c r="Y7" s="7" t="str">
        <f>Tabella2[[#This Row],[Mean RADIAL stress  (MPa)]]</f>
        <v>Null</v>
      </c>
      <c r="Z7" s="7" t="str">
        <f>Tabella2[[#This Row],[Amplitute RADIAL stress  (MPa)]]</f>
        <v>Null</v>
      </c>
      <c r="AA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" s="8">
        <f>IF( AND(ISNUMBER(Tabella2[[#This Row],[Mean AXIAL stress  (MPa)]]), ISNUMBER(Tabella2[[#This Row],[Area (mm^2)]])), Tabella2[[#This Row],[Mean AXIAL stress  (MPa)]]*Tabella2[[#This Row],[Area (mm^2)]], "Null")</f>
        <v>0</v>
      </c>
      <c r="AC7" s="8">
        <f>IF( AND(ISNUMBER(Tabella2[[#This Row],[Amplitute AXIAL stress  (MPa)]]), ISNUMBER(Tabella2[[#This Row],[Area (mm^2)]])), Tabella2[[#This Row],[Amplitute AXIAL stress  (MPa)]]*Tabella2[[#This Row],[Area (mm^2)]],"Null")</f>
        <v>7539.8223686155034</v>
      </c>
      <c r="AD7" s="8">
        <f>IF( AND(ISNUMBER(Tabella2[[#This Row],[Amplitude AXIAL force (N)]]), ISNUMBER(Tabella2[[#This Row],[Mean AXIAL force (N)]])), Tabella2[[#This Row],[Amplitude AXIAL force (N)]]+Tabella2[[#This Row],[Mean AXIAL force (N)]],"Null")</f>
        <v>7539.8223686155034</v>
      </c>
      <c r="AE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  <c r="AI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7" s="1"/>
    </row>
    <row r="8" spans="1:36" ht="14.45" customHeight="1" x14ac:dyDescent="0.25">
      <c r="A8" s="1" t="s">
        <v>52</v>
      </c>
      <c r="B8" s="1">
        <v>2018</v>
      </c>
      <c r="C8" s="1" t="s">
        <v>51</v>
      </c>
      <c r="D8" s="1" t="s">
        <v>62</v>
      </c>
      <c r="E8" s="8">
        <v>11000000</v>
      </c>
      <c r="F8" s="1" t="s">
        <v>50</v>
      </c>
      <c r="G8" s="1" t="s">
        <v>67</v>
      </c>
      <c r="H8" s="1" t="e" vm="1">
        <v>#VALUE!</v>
      </c>
      <c r="I8" s="1" t="s">
        <v>65</v>
      </c>
      <c r="J8" s="1" t="s">
        <v>34</v>
      </c>
      <c r="K8" s="1">
        <v>11</v>
      </c>
      <c r="L8" s="8">
        <f t="shared" si="0"/>
        <v>31.415926535897931</v>
      </c>
      <c r="M8" s="8">
        <f t="shared" si="1"/>
        <v>793.25214503142274</v>
      </c>
      <c r="N8" s="1" t="s">
        <v>35</v>
      </c>
      <c r="O8" s="1" t="s">
        <v>35</v>
      </c>
      <c r="P8" s="1" t="s">
        <v>35</v>
      </c>
      <c r="Q8" s="1">
        <v>-1</v>
      </c>
      <c r="R8" s="1" t="s">
        <v>35</v>
      </c>
      <c r="S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" s="1" t="s">
        <v>35</v>
      </c>
      <c r="U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8" s="1">
        <v>240</v>
      </c>
      <c r="W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" s="7" t="s">
        <v>35</v>
      </c>
      <c r="Y8" s="7" t="str">
        <f>Tabella2[[#This Row],[Mean RADIAL stress  (MPa)]]</f>
        <v>Null</v>
      </c>
      <c r="Z8" s="7" t="str">
        <f>Tabella2[[#This Row],[Amplitute RADIAL stress  (MPa)]]</f>
        <v>Null</v>
      </c>
      <c r="AA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" s="8">
        <f>IF( AND(ISNUMBER(Tabella2[[#This Row],[Mean AXIAL stress  (MPa)]]), ISNUMBER(Tabella2[[#This Row],[Area (mm^2)]])), Tabella2[[#This Row],[Mean AXIAL stress  (MPa)]]*Tabella2[[#This Row],[Area (mm^2)]], "Null")</f>
        <v>0</v>
      </c>
      <c r="AC8" s="8">
        <f>IF( AND(ISNUMBER(Tabella2[[#This Row],[Amplitute AXIAL stress  (MPa)]]), ISNUMBER(Tabella2[[#This Row],[Area (mm^2)]])), Tabella2[[#This Row],[Amplitute AXIAL stress  (MPa)]]*Tabella2[[#This Row],[Area (mm^2)]],"Null")</f>
        <v>7539.8223686155034</v>
      </c>
      <c r="AD8" s="8">
        <f>IF( AND(ISNUMBER(Tabella2[[#This Row],[Amplitude AXIAL force (N)]]), ISNUMBER(Tabella2[[#This Row],[Mean AXIAL force (N)]])), Tabella2[[#This Row],[Amplitude AXIAL force (N)]]+Tabella2[[#This Row],[Mean AXIAL force (N)]],"Null")</f>
        <v>7539.8223686155034</v>
      </c>
      <c r="AE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  <c r="AI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8" s="1"/>
    </row>
    <row r="9" spans="1:36" x14ac:dyDescent="0.25">
      <c r="A9" s="1" t="s">
        <v>52</v>
      </c>
      <c r="B9" s="1">
        <v>2018</v>
      </c>
      <c r="C9" s="1" t="s">
        <v>51</v>
      </c>
      <c r="D9" s="1" t="s">
        <v>63</v>
      </c>
      <c r="E9" s="8">
        <v>638000</v>
      </c>
      <c r="F9" s="1" t="s">
        <v>34</v>
      </c>
      <c r="G9" s="1" t="s">
        <v>67</v>
      </c>
      <c r="H9" s="1" t="e" vm="1">
        <v>#VALUE!</v>
      </c>
      <c r="I9" s="1" t="s">
        <v>65</v>
      </c>
      <c r="J9" s="1" t="s">
        <v>34</v>
      </c>
      <c r="K9" s="1">
        <v>11</v>
      </c>
      <c r="L9" s="8">
        <f t="shared" si="0"/>
        <v>31.415926535897931</v>
      </c>
      <c r="M9" s="8">
        <f t="shared" si="1"/>
        <v>793.25214503142274</v>
      </c>
      <c r="N9" s="1" t="s">
        <v>35</v>
      </c>
      <c r="O9" s="1" t="s">
        <v>35</v>
      </c>
      <c r="P9" s="1" t="s">
        <v>35</v>
      </c>
      <c r="Q9" s="1">
        <v>-1</v>
      </c>
      <c r="R9" s="1" t="s">
        <v>35</v>
      </c>
      <c r="S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" s="1" t="s">
        <v>35</v>
      </c>
      <c r="U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" s="1">
        <v>245</v>
      </c>
      <c r="W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9" s="7" t="s">
        <v>35</v>
      </c>
      <c r="Y9" s="7" t="str">
        <f>Tabella2[[#This Row],[Mean RADIAL stress  (MPa)]]</f>
        <v>Null</v>
      </c>
      <c r="Z9" s="7" t="str">
        <f>Tabella2[[#This Row],[Amplitute RADIAL stress  (MPa)]]</f>
        <v>Null</v>
      </c>
      <c r="AA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" s="8">
        <f>IF( AND(ISNUMBER(Tabella2[[#This Row],[Mean AXIAL stress  (MPa)]]), ISNUMBER(Tabella2[[#This Row],[Area (mm^2)]])), Tabella2[[#This Row],[Mean AXIAL stress  (MPa)]]*Tabella2[[#This Row],[Area (mm^2)]], "Null")</f>
        <v>0</v>
      </c>
      <c r="AC9" s="8">
        <f>IF( AND(ISNUMBER(Tabella2[[#This Row],[Amplitute AXIAL stress  (MPa)]]), ISNUMBER(Tabella2[[#This Row],[Area (mm^2)]])), Tabella2[[#This Row],[Amplitute AXIAL stress  (MPa)]]*Tabella2[[#This Row],[Area (mm^2)]],"Null")</f>
        <v>7696.9020012949932</v>
      </c>
      <c r="AD9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7696.9020012949932</v>
      </c>
      <c r="AE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245</v>
      </c>
      <c r="AI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9" s="1"/>
    </row>
    <row r="10" spans="1:36" x14ac:dyDescent="0.25">
      <c r="A10" s="1" t="s">
        <v>52</v>
      </c>
      <c r="B10" s="1">
        <v>2018</v>
      </c>
      <c r="C10" s="1" t="s">
        <v>51</v>
      </c>
      <c r="D10" s="1" t="s">
        <v>64</v>
      </c>
      <c r="E10" s="8">
        <v>509000</v>
      </c>
      <c r="F10" s="1" t="s">
        <v>34</v>
      </c>
      <c r="G10" s="1" t="s">
        <v>67</v>
      </c>
      <c r="H10" s="1" t="e" vm="1">
        <v>#VALUE!</v>
      </c>
      <c r="I10" s="1" t="s">
        <v>65</v>
      </c>
      <c r="J10" s="1" t="s">
        <v>34</v>
      </c>
      <c r="K10" s="1">
        <v>11</v>
      </c>
      <c r="L10" s="8">
        <f t="shared" si="0"/>
        <v>31.415926535897931</v>
      </c>
      <c r="M10" s="8">
        <f t="shared" si="1"/>
        <v>793.25214503142274</v>
      </c>
      <c r="N10" s="1" t="s">
        <v>35</v>
      </c>
      <c r="O10" s="1" t="s">
        <v>35</v>
      </c>
      <c r="P10" s="1" t="s">
        <v>35</v>
      </c>
      <c r="Q10" s="1">
        <v>-1</v>
      </c>
      <c r="R10" s="1" t="s">
        <v>35</v>
      </c>
      <c r="S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" s="1" t="s">
        <v>35</v>
      </c>
      <c r="U1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" s="1">
        <v>250</v>
      </c>
      <c r="W1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0" s="7" t="s">
        <v>35</v>
      </c>
      <c r="Y10" s="7" t="str">
        <f>Tabella2[[#This Row],[Mean RADIAL stress  (MPa)]]</f>
        <v>Null</v>
      </c>
      <c r="Z10" s="7" t="str">
        <f>Tabella2[[#This Row],[Amplitute RADIAL stress  (MPa)]]</f>
        <v>Null</v>
      </c>
      <c r="AA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" s="8">
        <f>IF( AND(ISNUMBER(Tabella2[[#This Row],[Mean AXIAL stress  (MPa)]]), ISNUMBER(Tabella2[[#This Row],[Area (mm^2)]])), Tabella2[[#This Row],[Mean AXIAL stress  (MPa)]]*Tabella2[[#This Row],[Area (mm^2)]], "Null")</f>
        <v>0</v>
      </c>
      <c r="AC10" s="8">
        <f>IF( AND(ISNUMBER(Tabella2[[#This Row],[Amplitute AXIAL stress  (MPa)]]), ISNUMBER(Tabella2[[#This Row],[Area (mm^2)]])), Tabella2[[#This Row],[Amplitute AXIAL stress  (MPa)]]*Tabella2[[#This Row],[Area (mm^2)]],"Null")</f>
        <v>7853.981633974483</v>
      </c>
      <c r="AD10" s="8">
        <f>IF( AND(ISNUMBER(Tabella2[[#This Row],[Amplitude AXIAL force (N)]]), ISNUMBER(Tabella2[[#This Row],[Mean AXIAL force (N)]])), Tabella2[[#This Row],[Amplitude AXIAL force (N)]]+Tabella2[[#This Row],[Mean AXIAL force (N)]],"Null")</f>
        <v>7853.981633974483</v>
      </c>
      <c r="AE1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1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250</v>
      </c>
      <c r="AI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0" s="1"/>
    </row>
    <row r="11" spans="1:36" ht="15.6" customHeight="1" x14ac:dyDescent="0.25">
      <c r="A11" s="1" t="s">
        <v>52</v>
      </c>
      <c r="B11" s="1">
        <v>2018</v>
      </c>
      <c r="C11" s="1" t="s">
        <v>51</v>
      </c>
      <c r="D11" s="1" t="s">
        <v>68</v>
      </c>
      <c r="E11" s="8">
        <v>11000000</v>
      </c>
      <c r="F11" s="1" t="s">
        <v>50</v>
      </c>
      <c r="G11" s="1" t="s">
        <v>67</v>
      </c>
      <c r="H11" s="1" t="e" vm="1">
        <v>#VALUE!</v>
      </c>
      <c r="I11" s="1" t="s">
        <v>65</v>
      </c>
      <c r="J11" s="1" t="s">
        <v>34</v>
      </c>
      <c r="K11" s="1">
        <v>11</v>
      </c>
      <c r="L11" s="8">
        <f t="shared" si="0"/>
        <v>31.415926535897931</v>
      </c>
      <c r="M11" s="8">
        <f t="shared" si="1"/>
        <v>793.25214503142274</v>
      </c>
      <c r="N11" s="1" t="s">
        <v>35</v>
      </c>
      <c r="O11" s="1" t="s">
        <v>35</v>
      </c>
      <c r="P11" s="1" t="s">
        <v>35</v>
      </c>
      <c r="Q11" s="1" t="s">
        <v>35</v>
      </c>
      <c r="R11" s="1">
        <v>-1</v>
      </c>
      <c r="S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" s="1" t="s">
        <v>35</v>
      </c>
      <c r="U1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" s="1" t="s">
        <v>35</v>
      </c>
      <c r="W1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" s="11">
        <v>139</v>
      </c>
      <c r="Y11" s="7" t="str">
        <f>Tabella2[[#This Row],[Mean RADIAL stress  (MPa)]]</f>
        <v>Null</v>
      </c>
      <c r="Z11" s="7" t="str">
        <f>Tabella2[[#This Row],[Amplitute RADIAL stress  (MPa)]]</f>
        <v>Null</v>
      </c>
      <c r="AA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40095.290239770089</v>
      </c>
      <c r="AG11" s="1">
        <f>IF(
   AND(ISNUMBER(Tabella2[[#This Row],[Mean TORQUE (Nmm)]]), ISNUMBER(Tabella2[[#This Row],[Amplitude TORQUE (Nmm)]])),
   Tabella2[[#This Row],[Mean TORQUE (Nmm)]]+Tabella2[[#This Row],[Amplitude TORQUE (Nmm)]],
   "Null"
)</f>
        <v>40095.290239770089</v>
      </c>
      <c r="AH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240.75506225207394</v>
      </c>
      <c r="AI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1" s="1"/>
    </row>
    <row r="12" spans="1:36" x14ac:dyDescent="0.25">
      <c r="A12" s="1" t="s">
        <v>52</v>
      </c>
      <c r="B12" s="1">
        <v>2018</v>
      </c>
      <c r="C12" s="1" t="s">
        <v>51</v>
      </c>
      <c r="D12" s="1" t="s">
        <v>69</v>
      </c>
      <c r="E12" s="8">
        <v>11000000</v>
      </c>
      <c r="F12" s="1" t="s">
        <v>50</v>
      </c>
      <c r="G12" s="1" t="s">
        <v>67</v>
      </c>
      <c r="H12" s="1" t="e" vm="1">
        <v>#VALUE!</v>
      </c>
      <c r="I12" s="1" t="s">
        <v>65</v>
      </c>
      <c r="J12" s="1" t="s">
        <v>34</v>
      </c>
      <c r="K12" s="1">
        <v>11</v>
      </c>
      <c r="L12" s="8">
        <f t="shared" si="0"/>
        <v>31.415926535897931</v>
      </c>
      <c r="M12" s="8">
        <f t="shared" si="1"/>
        <v>793.25214503142274</v>
      </c>
      <c r="N12" s="1" t="s">
        <v>35</v>
      </c>
      <c r="O12" s="1" t="s">
        <v>35</v>
      </c>
      <c r="P12" s="1" t="s">
        <v>35</v>
      </c>
      <c r="Q12" s="1" t="s">
        <v>35</v>
      </c>
      <c r="R12" s="1">
        <v>-1</v>
      </c>
      <c r="S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" s="1" t="s">
        <v>35</v>
      </c>
      <c r="U1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" s="1" t="s">
        <v>35</v>
      </c>
      <c r="W1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" s="11">
        <v>144</v>
      </c>
      <c r="Y12" s="7" t="str">
        <f>Tabella2[[#This Row],[Mean RADIAL stress  (MPa)]]</f>
        <v>Null</v>
      </c>
      <c r="Z12" s="7" t="str">
        <f>Tabella2[[#This Row],[Amplitute RADIAL stress  (MPa)]]</f>
        <v>Null</v>
      </c>
      <c r="AA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41537.566867099951</v>
      </c>
      <c r="AG12" s="1">
        <f>IF(
   AND(ISNUMBER(Tabella2[[#This Row],[Mean TORQUE (Nmm)]]), ISNUMBER(Tabella2[[#This Row],[Amplitude TORQUE (Nmm)]])),
   Tabella2[[#This Row],[Mean TORQUE (Nmm)]]+Tabella2[[#This Row],[Amplitude TORQUE (Nmm)]],
   "Null"
)</f>
        <v>41537.566867099951</v>
      </c>
      <c r="AH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  <c r="AI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2" s="1"/>
    </row>
    <row r="13" spans="1:36" x14ac:dyDescent="0.25">
      <c r="A13" s="1" t="s">
        <v>52</v>
      </c>
      <c r="B13" s="1">
        <v>2018</v>
      </c>
      <c r="C13" s="1" t="s">
        <v>51</v>
      </c>
      <c r="D13" s="1" t="s">
        <v>70</v>
      </c>
      <c r="E13" s="8">
        <v>445000</v>
      </c>
      <c r="F13" s="1" t="s">
        <v>34</v>
      </c>
      <c r="G13" s="1" t="s">
        <v>67</v>
      </c>
      <c r="H13" s="1" t="e" vm="1">
        <v>#VALUE!</v>
      </c>
      <c r="I13" s="1" t="s">
        <v>65</v>
      </c>
      <c r="J13" s="1" t="s">
        <v>34</v>
      </c>
      <c r="K13" s="1">
        <v>11</v>
      </c>
      <c r="L13" s="8">
        <f t="shared" si="0"/>
        <v>31.415926535897931</v>
      </c>
      <c r="M13" s="8">
        <f t="shared" si="1"/>
        <v>793.25214503142274</v>
      </c>
      <c r="N13" s="1" t="s">
        <v>35</v>
      </c>
      <c r="O13" s="1" t="s">
        <v>35</v>
      </c>
      <c r="P13" s="1" t="s">
        <v>35</v>
      </c>
      <c r="Q13" s="1" t="s">
        <v>35</v>
      </c>
      <c r="R13" s="1">
        <v>-1</v>
      </c>
      <c r="S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" s="1" t="s">
        <v>35</v>
      </c>
      <c r="U1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3" s="1" t="s">
        <v>35</v>
      </c>
      <c r="W1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" s="11">
        <v>144</v>
      </c>
      <c r="Y13" s="7" t="str">
        <f>Tabella2[[#This Row],[Mean RADIAL stress  (MPa)]]</f>
        <v>Null</v>
      </c>
      <c r="Z13" s="7" t="str">
        <f>Tabella2[[#This Row],[Amplitute RADIAL stress  (MPa)]]</f>
        <v>Null</v>
      </c>
      <c r="AA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41537.566867099951</v>
      </c>
      <c r="AG13" s="1">
        <f>IF(
   AND(ISNUMBER(Tabella2[[#This Row],[Mean TORQUE (Nmm)]]), ISNUMBER(Tabella2[[#This Row],[Amplitude TORQUE (Nmm)]])),
   Tabella2[[#This Row],[Mean TORQUE (Nmm)]]+Tabella2[[#This Row],[Amplitude TORQUE (Nmm)]],
   "Null"
)</f>
        <v>41537.566867099951</v>
      </c>
      <c r="AH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  <c r="AI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3" s="1"/>
    </row>
    <row r="14" spans="1:36" x14ac:dyDescent="0.25">
      <c r="A14" s="1" t="s">
        <v>52</v>
      </c>
      <c r="B14" s="1">
        <v>2018</v>
      </c>
      <c r="C14" s="1" t="s">
        <v>51</v>
      </c>
      <c r="D14" s="1" t="s">
        <v>71</v>
      </c>
      <c r="E14" s="8">
        <v>2165000</v>
      </c>
      <c r="F14" s="1" t="s">
        <v>34</v>
      </c>
      <c r="G14" s="1" t="s">
        <v>67</v>
      </c>
      <c r="H14" s="1" t="e" vm="1">
        <v>#VALUE!</v>
      </c>
      <c r="I14" s="1" t="s">
        <v>65</v>
      </c>
      <c r="J14" s="1" t="s">
        <v>34</v>
      </c>
      <c r="K14" s="1">
        <v>11</v>
      </c>
      <c r="L14" s="8">
        <f t="shared" si="0"/>
        <v>31.415926535897931</v>
      </c>
      <c r="M14" s="8">
        <f t="shared" si="1"/>
        <v>793.25214503142274</v>
      </c>
      <c r="N14" s="1" t="s">
        <v>35</v>
      </c>
      <c r="O14" s="1" t="s">
        <v>35</v>
      </c>
      <c r="P14" s="1" t="s">
        <v>35</v>
      </c>
      <c r="Q14" s="1" t="s">
        <v>35</v>
      </c>
      <c r="R14" s="1">
        <v>-1</v>
      </c>
      <c r="S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" s="1" t="s">
        <v>35</v>
      </c>
      <c r="U1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4" s="1" t="s">
        <v>35</v>
      </c>
      <c r="W1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" s="11">
        <v>144</v>
      </c>
      <c r="Y14" s="7" t="str">
        <f>Tabella2[[#This Row],[Mean RADIAL stress  (MPa)]]</f>
        <v>Null</v>
      </c>
      <c r="Z14" s="7" t="str">
        <f>Tabella2[[#This Row],[Amplitute RADIAL stress  (MPa)]]</f>
        <v>Null</v>
      </c>
      <c r="AA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41537.566867099951</v>
      </c>
      <c r="AG14" s="1">
        <f>IF(
   AND(ISNUMBER(Tabella2[[#This Row],[Mean TORQUE (Nmm)]]), ISNUMBER(Tabella2[[#This Row],[Amplitude TORQUE (Nmm)]])),
   Tabella2[[#This Row],[Mean TORQUE (Nmm)]]+Tabella2[[#This Row],[Amplitude TORQUE (Nmm)]],
   "Null"
)</f>
        <v>41537.566867099951</v>
      </c>
      <c r="AH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  <c r="AI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4" s="1"/>
    </row>
    <row r="15" spans="1:36" x14ac:dyDescent="0.25">
      <c r="A15" s="1" t="s">
        <v>52</v>
      </c>
      <c r="B15" s="1">
        <v>2018</v>
      </c>
      <c r="C15" s="1" t="s">
        <v>51</v>
      </c>
      <c r="D15" s="1" t="s">
        <v>72</v>
      </c>
      <c r="E15" s="8">
        <v>849000</v>
      </c>
      <c r="F15" s="1" t="s">
        <v>34</v>
      </c>
      <c r="G15" s="1" t="s">
        <v>67</v>
      </c>
      <c r="H15" s="1" t="e" vm="1">
        <v>#VALUE!</v>
      </c>
      <c r="I15" s="1" t="s">
        <v>65</v>
      </c>
      <c r="J15" s="1" t="s">
        <v>34</v>
      </c>
      <c r="K15" s="1">
        <v>11</v>
      </c>
      <c r="L15" s="8">
        <f t="shared" si="0"/>
        <v>31.415926535897931</v>
      </c>
      <c r="M15" s="8">
        <f t="shared" si="1"/>
        <v>793.25214503142274</v>
      </c>
      <c r="N15" s="1" t="s">
        <v>35</v>
      </c>
      <c r="O15" s="1" t="s">
        <v>35</v>
      </c>
      <c r="P15" s="1" t="s">
        <v>35</v>
      </c>
      <c r="Q15" s="1" t="s">
        <v>35</v>
      </c>
      <c r="R15" s="1">
        <v>-1</v>
      </c>
      <c r="S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" s="1" t="s">
        <v>35</v>
      </c>
      <c r="U1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5" s="1" t="s">
        <v>35</v>
      </c>
      <c r="W1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" s="11">
        <v>147</v>
      </c>
      <c r="Y15" s="7" t="str">
        <f>Tabella2[[#This Row],[Mean RADIAL stress  (MPa)]]</f>
        <v>Null</v>
      </c>
      <c r="Z15" s="7" t="str">
        <f>Tabella2[[#This Row],[Amplitute RADIAL stress  (MPa)]]</f>
        <v>Null</v>
      </c>
      <c r="AA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42402.932843497867</v>
      </c>
      <c r="AG15" s="1">
        <f>IF(
   AND(ISNUMBER(Tabella2[[#This Row],[Mean TORQUE (Nmm)]]), ISNUMBER(Tabella2[[#This Row],[Amplitude TORQUE (Nmm)]])),
   Tabella2[[#This Row],[Mean TORQUE (Nmm)]]+Tabella2[[#This Row],[Amplitude TORQUE (Nmm)]],
   "Null"
)</f>
        <v>42402.932843497867</v>
      </c>
      <c r="AH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254.61146871262497</v>
      </c>
      <c r="AI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5" s="1"/>
    </row>
    <row r="16" spans="1:36" x14ac:dyDescent="0.25">
      <c r="A16" s="1" t="s">
        <v>52</v>
      </c>
      <c r="B16" s="1">
        <v>2018</v>
      </c>
      <c r="C16" s="1" t="s">
        <v>51</v>
      </c>
      <c r="D16" s="1" t="s">
        <v>73</v>
      </c>
      <c r="E16" s="8">
        <v>474000</v>
      </c>
      <c r="F16" s="1" t="s">
        <v>34</v>
      </c>
      <c r="G16" s="1" t="s">
        <v>67</v>
      </c>
      <c r="H16" s="1" t="e" vm="1">
        <v>#VALUE!</v>
      </c>
      <c r="I16" s="1" t="s">
        <v>65</v>
      </c>
      <c r="J16" s="1" t="s">
        <v>34</v>
      </c>
      <c r="K16" s="1">
        <v>11</v>
      </c>
      <c r="L16" s="8">
        <f t="shared" si="0"/>
        <v>31.415926535897931</v>
      </c>
      <c r="M16" s="8">
        <f t="shared" si="1"/>
        <v>793.25214503142274</v>
      </c>
      <c r="N16" s="1" t="s">
        <v>35</v>
      </c>
      <c r="O16" s="1" t="s">
        <v>35</v>
      </c>
      <c r="P16" s="1" t="s">
        <v>35</v>
      </c>
      <c r="Q16" s="1" t="s">
        <v>35</v>
      </c>
      <c r="R16" s="1">
        <v>-1</v>
      </c>
      <c r="S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" s="1" t="s">
        <v>35</v>
      </c>
      <c r="U1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6" s="1" t="s">
        <v>35</v>
      </c>
      <c r="W1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" s="11">
        <v>150</v>
      </c>
      <c r="Y16" s="7" t="str">
        <f>Tabella2[[#This Row],[Mean RADIAL stress  (MPa)]]</f>
        <v>Null</v>
      </c>
      <c r="Z16" s="7" t="str">
        <f>Tabella2[[#This Row],[Amplitute RADIAL stress  (MPa)]]</f>
        <v>Null</v>
      </c>
      <c r="AA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43268.298819895783</v>
      </c>
      <c r="AG16" s="1">
        <f>IF(
   AND(ISNUMBER(Tabella2[[#This Row],[Mean TORQUE (Nmm)]]), ISNUMBER(Tabella2[[#This Row],[Amplitude TORQUE (Nmm)]])),
   Tabella2[[#This Row],[Mean TORQUE (Nmm)]]+Tabella2[[#This Row],[Amplitude TORQUE (Nmm)]],
   "Null"
)</f>
        <v>43268.298819895783</v>
      </c>
      <c r="AH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259.8076211353316</v>
      </c>
      <c r="AI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6" s="1"/>
    </row>
    <row r="17" spans="1:36" x14ac:dyDescent="0.25">
      <c r="A17" s="1" t="s">
        <v>52</v>
      </c>
      <c r="B17" s="1">
        <v>2018</v>
      </c>
      <c r="C17" s="1" t="s">
        <v>51</v>
      </c>
      <c r="D17" s="1" t="s">
        <v>74</v>
      </c>
      <c r="E17" s="8">
        <v>198000</v>
      </c>
      <c r="F17" s="1" t="s">
        <v>34</v>
      </c>
      <c r="G17" s="1" t="s">
        <v>67</v>
      </c>
      <c r="H17" s="1" t="e" vm="1">
        <v>#VALUE!</v>
      </c>
      <c r="I17" s="1" t="s">
        <v>65</v>
      </c>
      <c r="J17" s="1" t="s">
        <v>34</v>
      </c>
      <c r="K17" s="1">
        <v>11</v>
      </c>
      <c r="L17" s="8">
        <f t="shared" si="0"/>
        <v>31.415926535897931</v>
      </c>
      <c r="M17" s="8">
        <f t="shared" si="1"/>
        <v>793.25214503142274</v>
      </c>
      <c r="N17" s="1" t="s">
        <v>35</v>
      </c>
      <c r="O17" s="1" t="s">
        <v>35</v>
      </c>
      <c r="P17" s="1" t="s">
        <v>35</v>
      </c>
      <c r="Q17" s="1" t="s">
        <v>35</v>
      </c>
      <c r="R17" s="1">
        <v>-1</v>
      </c>
      <c r="S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" s="1" t="s">
        <v>35</v>
      </c>
      <c r="U1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7" s="1" t="s">
        <v>35</v>
      </c>
      <c r="W1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7" s="11">
        <v>153</v>
      </c>
      <c r="Y17" s="7" t="str">
        <f>Tabella2[[#This Row],[Mean RADIAL stress  (MPa)]]</f>
        <v>Null</v>
      </c>
      <c r="Z17" s="7" t="str">
        <f>Tabella2[[#This Row],[Amplitute RADIAL stress  (MPa)]]</f>
        <v>Null</v>
      </c>
      <c r="AA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7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44133.664796293706</v>
      </c>
      <c r="AG17" s="1">
        <f>IF(
   AND(ISNUMBER(Tabella2[[#This Row],[Mean TORQUE (Nmm)]]), ISNUMBER(Tabella2[[#This Row],[Amplitude TORQUE (Nmm)]])),
   Tabella2[[#This Row],[Mean TORQUE (Nmm)]]+Tabella2[[#This Row],[Amplitude TORQUE (Nmm)]],
   "Null"
)</f>
        <v>44133.664796293706</v>
      </c>
      <c r="AH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265.00377355803823</v>
      </c>
      <c r="AI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7" s="1"/>
    </row>
    <row r="18" spans="1:36" x14ac:dyDescent="0.25">
      <c r="A18" s="1" t="s">
        <v>52</v>
      </c>
      <c r="B18" s="1">
        <v>2018</v>
      </c>
      <c r="C18" s="1" t="s">
        <v>51</v>
      </c>
      <c r="D18" s="1" t="s">
        <v>75</v>
      </c>
      <c r="E18" s="8">
        <v>11000000</v>
      </c>
      <c r="F18" s="1" t="s">
        <v>50</v>
      </c>
      <c r="G18" s="1" t="s">
        <v>67</v>
      </c>
      <c r="H18" s="1" t="e" vm="1">
        <v>#VALUE!</v>
      </c>
      <c r="I18" s="1" t="s">
        <v>65</v>
      </c>
      <c r="J18" s="1" t="s">
        <v>34</v>
      </c>
      <c r="K18" s="1">
        <v>11</v>
      </c>
      <c r="L18" s="8">
        <f t="shared" si="0"/>
        <v>31.415926535897931</v>
      </c>
      <c r="M18" s="8">
        <f t="shared" si="1"/>
        <v>793.25214503142274</v>
      </c>
      <c r="N18" s="1" t="s">
        <v>35</v>
      </c>
      <c r="O18" s="1" t="s">
        <v>35</v>
      </c>
      <c r="P18" s="1" t="s">
        <v>35</v>
      </c>
      <c r="Q18" s="1">
        <v>-1</v>
      </c>
      <c r="R18" s="1">
        <v>-1</v>
      </c>
      <c r="S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" s="1" t="s">
        <v>35</v>
      </c>
      <c r="U1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8" s="1">
        <v>170</v>
      </c>
      <c r="W1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8" s="1">
        <v>98</v>
      </c>
      <c r="Y18" s="7" t="str">
        <f>Tabella2[[#This Row],[Mean RADIAL stress  (MPa)]]</f>
        <v>Null</v>
      </c>
      <c r="Z18" s="7" t="str">
        <f>Tabella2[[#This Row],[Amplitute RADIAL stress  (MPa)]]</f>
        <v>Null</v>
      </c>
      <c r="AA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" s="8">
        <f>IF( AND(ISNUMBER(Tabella2[[#This Row],[Mean AXIAL stress  (MPa)]]), ISNUMBER(Tabella2[[#This Row],[Area (mm^2)]])), Tabella2[[#This Row],[Mean AXIAL stress  (MPa)]]*Tabella2[[#This Row],[Area (mm^2)]], "Null")</f>
        <v>0</v>
      </c>
      <c r="AC18" s="8">
        <f>IF( AND(ISNUMBER(Tabella2[[#This Row],[Amplitute AXIAL stress  (MPa)]]), ISNUMBER(Tabella2[[#This Row],[Area (mm^2)]])), Tabella2[[#This Row],[Amplitute AXIAL stress  (MPa)]]*Tabella2[[#This Row],[Area (mm^2)]],"Null")</f>
        <v>5340.7075111026479</v>
      </c>
      <c r="AD18" s="8">
        <f>IF( AND(ISNUMBER(Tabella2[[#This Row],[Amplitude AXIAL force (N)]]), ISNUMBER(Tabella2[[#This Row],[Mean AXIAL force (N)]])), Tabella2[[#This Row],[Amplitude AXIAL force (N)]]+Tabella2[[#This Row],[Mean AXIAL force (N)]],"Null")</f>
        <v>5340.7075111026479</v>
      </c>
      <c r="AE1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8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28268.621895665245</v>
      </c>
      <c r="AG18" s="1">
        <f>IF(
   AND(ISNUMBER(Tabella2[[#This Row],[Mean TORQUE (Nmm)]]), ISNUMBER(Tabella2[[#This Row],[Amplitude TORQUE (Nmm)]])),
   Tabella2[[#This Row],[Mean TORQUE (Nmm)]]+Tabella2[[#This Row],[Amplitude TORQUE (Nmm)]],
   "Null"
)</f>
        <v>28268.621895665245</v>
      </c>
      <c r="AH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240.23322001754877</v>
      </c>
      <c r="AI1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0.57647058823529407</v>
      </c>
    </row>
    <row r="19" spans="1:36" x14ac:dyDescent="0.25">
      <c r="A19" s="1" t="s">
        <v>52</v>
      </c>
      <c r="B19" s="1">
        <v>2018</v>
      </c>
      <c r="C19" s="1" t="s">
        <v>51</v>
      </c>
      <c r="D19" s="1" t="s">
        <v>76</v>
      </c>
      <c r="E19" s="8">
        <v>11000000</v>
      </c>
      <c r="F19" s="1" t="s">
        <v>50</v>
      </c>
      <c r="G19" s="1" t="s">
        <v>67</v>
      </c>
      <c r="H19" s="1" t="e" vm="1">
        <v>#VALUE!</v>
      </c>
      <c r="I19" s="1" t="s">
        <v>65</v>
      </c>
      <c r="J19" s="1" t="s">
        <v>34</v>
      </c>
      <c r="K19" s="1">
        <v>11</v>
      </c>
      <c r="L19" s="8">
        <f t="shared" si="0"/>
        <v>31.415926535897931</v>
      </c>
      <c r="M19" s="8">
        <f t="shared" si="1"/>
        <v>793.25214503142274</v>
      </c>
      <c r="N19" s="1" t="s">
        <v>35</v>
      </c>
      <c r="O19" s="1" t="s">
        <v>35</v>
      </c>
      <c r="P19" s="1" t="s">
        <v>35</v>
      </c>
      <c r="Q19" s="1">
        <v>-1</v>
      </c>
      <c r="R19" s="1">
        <v>-1</v>
      </c>
      <c r="S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" s="1" t="s">
        <v>35</v>
      </c>
      <c r="U1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9" s="1">
        <v>184</v>
      </c>
      <c r="W1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9" s="1">
        <v>106</v>
      </c>
      <c r="Y19" s="7" t="str">
        <f>Tabella2[[#This Row],[Mean RADIAL stress  (MPa)]]</f>
        <v>Null</v>
      </c>
      <c r="Z19" s="7" t="str">
        <f>Tabella2[[#This Row],[Amplitute RADIAL stress  (MPa)]]</f>
        <v>Null</v>
      </c>
      <c r="AA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" s="8">
        <f>IF( AND(ISNUMBER(Tabella2[[#This Row],[Mean AXIAL stress  (MPa)]]), ISNUMBER(Tabella2[[#This Row],[Area (mm^2)]])), Tabella2[[#This Row],[Mean AXIAL stress  (MPa)]]*Tabella2[[#This Row],[Area (mm^2)]], "Null")</f>
        <v>0</v>
      </c>
      <c r="AC19" s="8">
        <f>IF( AND(ISNUMBER(Tabella2[[#This Row],[Amplitute AXIAL stress  (MPa)]]), ISNUMBER(Tabella2[[#This Row],[Area (mm^2)]])), Tabella2[[#This Row],[Amplitute AXIAL stress  (MPa)]]*Tabella2[[#This Row],[Area (mm^2)]],"Null")</f>
        <v>5780.5304826052197</v>
      </c>
      <c r="AD19" s="8">
        <f>IF( AND(ISNUMBER(Tabella2[[#This Row],[Amplitude AXIAL force (N)]]), ISNUMBER(Tabella2[[#This Row],[Mean AXIAL force (N)]])), Tabella2[[#This Row],[Amplitude AXIAL force (N)]]+Tabella2[[#This Row],[Mean AXIAL force (N)]],"Null")</f>
        <v>5780.5304826052197</v>
      </c>
      <c r="AE1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9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30576.264499393023</v>
      </c>
      <c r="AG19" s="1">
        <f>IF(
   AND(ISNUMBER(Tabella2[[#This Row],[Mean TORQUE (Nmm)]]), ISNUMBER(Tabella2[[#This Row],[Amplitude TORQUE (Nmm)]])),
   Tabella2[[#This Row],[Mean TORQUE (Nmm)]]+Tabella2[[#This Row],[Amplitude TORQUE (Nmm)]],
   "Null"
)</f>
        <v>30576.264499393023</v>
      </c>
      <c r="AH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259.93076001119988</v>
      </c>
      <c r="AI1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0.57608695652173914</v>
      </c>
    </row>
    <row r="20" spans="1:36" x14ac:dyDescent="0.25">
      <c r="A20" s="1" t="s">
        <v>52</v>
      </c>
      <c r="B20" s="1">
        <v>2018</v>
      </c>
      <c r="C20" s="1" t="s">
        <v>51</v>
      </c>
      <c r="D20" s="1" t="s">
        <v>77</v>
      </c>
      <c r="E20" s="8">
        <v>11000000</v>
      </c>
      <c r="F20" s="1" t="s">
        <v>50</v>
      </c>
      <c r="G20" s="1" t="s">
        <v>67</v>
      </c>
      <c r="H20" s="1" t="e" vm="1">
        <v>#VALUE!</v>
      </c>
      <c r="I20" s="1" t="s">
        <v>65</v>
      </c>
      <c r="J20" s="1" t="s">
        <v>34</v>
      </c>
      <c r="K20" s="1">
        <v>11</v>
      </c>
      <c r="L20" s="8">
        <f t="shared" si="0"/>
        <v>31.415926535897931</v>
      </c>
      <c r="M20" s="8">
        <f t="shared" si="1"/>
        <v>793.25214503142274</v>
      </c>
      <c r="N20" s="1" t="s">
        <v>35</v>
      </c>
      <c r="O20" s="1" t="s">
        <v>35</v>
      </c>
      <c r="P20" s="1" t="s">
        <v>35</v>
      </c>
      <c r="Q20" s="1">
        <v>-1</v>
      </c>
      <c r="R20" s="1">
        <v>-1</v>
      </c>
      <c r="S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0" s="1" t="s">
        <v>35</v>
      </c>
      <c r="U2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0" s="1">
        <v>191</v>
      </c>
      <c r="W2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0" s="1">
        <v>110</v>
      </c>
      <c r="Y20" s="7" t="str">
        <f>Tabella2[[#This Row],[Mean RADIAL stress  (MPa)]]</f>
        <v>Null</v>
      </c>
      <c r="Z20" s="7" t="str">
        <f>Tabella2[[#This Row],[Amplitute RADIAL stress  (MPa)]]</f>
        <v>Null</v>
      </c>
      <c r="AA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0" s="8">
        <f>IF( AND(ISNUMBER(Tabella2[[#This Row],[Mean AXIAL stress  (MPa)]]), ISNUMBER(Tabella2[[#This Row],[Area (mm^2)]])), Tabella2[[#This Row],[Mean AXIAL stress  (MPa)]]*Tabella2[[#This Row],[Area (mm^2)]], "Null")</f>
        <v>0</v>
      </c>
      <c r="AC20" s="8">
        <f>IF( AND(ISNUMBER(Tabella2[[#This Row],[Amplitute AXIAL stress  (MPa)]]), ISNUMBER(Tabella2[[#This Row],[Area (mm^2)]])), Tabella2[[#This Row],[Amplitute AXIAL stress  (MPa)]]*Tabella2[[#This Row],[Area (mm^2)]],"Null")</f>
        <v>6000.4419683565047</v>
      </c>
      <c r="AD20" s="8">
        <f>IF( AND(ISNUMBER(Tabella2[[#This Row],[Amplitude AXIAL force (N)]]), ISNUMBER(Tabella2[[#This Row],[Mean AXIAL force (N)]])), Tabella2[[#This Row],[Amplitude AXIAL force (N)]]+Tabella2[[#This Row],[Mean AXIAL force (N)]],"Null")</f>
        <v>6000.4419683565047</v>
      </c>
      <c r="AE2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0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31730.085801256912</v>
      </c>
      <c r="AG20" s="1">
        <f>IF(
   AND(ISNUMBER(Tabella2[[#This Row],[Mean TORQUE (Nmm)]]), ISNUMBER(Tabella2[[#This Row],[Amplitude TORQUE (Nmm)]])),
   Tabella2[[#This Row],[Mean TORQUE (Nmm)]]+Tabella2[[#This Row],[Amplitude TORQUE (Nmm)]],
   "Null"
)</f>
        <v>31730.085801256912</v>
      </c>
      <c r="AH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269.77953962448674</v>
      </c>
      <c r="AI2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0.5759162303664922</v>
      </c>
    </row>
    <row r="21" spans="1:36" x14ac:dyDescent="0.25">
      <c r="A21" s="1" t="s">
        <v>52</v>
      </c>
      <c r="B21" s="1">
        <v>2018</v>
      </c>
      <c r="C21" s="1" t="s">
        <v>51</v>
      </c>
      <c r="D21" s="1" t="s">
        <v>78</v>
      </c>
      <c r="E21" s="8">
        <v>194000</v>
      </c>
      <c r="F21" s="1" t="s">
        <v>34</v>
      </c>
      <c r="G21" s="1" t="s">
        <v>67</v>
      </c>
      <c r="H21" s="1" t="e" vm="1">
        <v>#VALUE!</v>
      </c>
      <c r="I21" s="1" t="s">
        <v>65</v>
      </c>
      <c r="J21" s="1" t="s">
        <v>34</v>
      </c>
      <c r="K21" s="1">
        <v>11</v>
      </c>
      <c r="L21" s="8">
        <f t="shared" si="0"/>
        <v>31.415926535897931</v>
      </c>
      <c r="M21" s="8">
        <f t="shared" si="1"/>
        <v>793.25214503142274</v>
      </c>
      <c r="N21" s="1" t="s">
        <v>35</v>
      </c>
      <c r="O21" s="1" t="s">
        <v>35</v>
      </c>
      <c r="P21" s="1" t="s">
        <v>35</v>
      </c>
      <c r="Q21" s="1">
        <v>-1</v>
      </c>
      <c r="R21" s="1">
        <v>-1</v>
      </c>
      <c r="S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1" s="1" t="s">
        <v>35</v>
      </c>
      <c r="U2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1" s="1">
        <v>198</v>
      </c>
      <c r="W2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1" s="1">
        <v>114</v>
      </c>
      <c r="Y21" s="7" t="str">
        <f>Tabella2[[#This Row],[Mean RADIAL stress  (MPa)]]</f>
        <v>Null</v>
      </c>
      <c r="Z21" s="7" t="str">
        <f>Tabella2[[#This Row],[Amplitute RADIAL stress  (MPa)]]</f>
        <v>Null</v>
      </c>
      <c r="AA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1" s="8">
        <f>IF( AND(ISNUMBER(Tabella2[[#This Row],[Mean AXIAL stress  (MPa)]]), ISNUMBER(Tabella2[[#This Row],[Area (mm^2)]])), Tabella2[[#This Row],[Mean AXIAL stress  (MPa)]]*Tabella2[[#This Row],[Area (mm^2)]], "Null")</f>
        <v>0</v>
      </c>
      <c r="AC21" s="8">
        <f>IF( AND(ISNUMBER(Tabella2[[#This Row],[Amplitute AXIAL stress  (MPa)]]), ISNUMBER(Tabella2[[#This Row],[Area (mm^2)]])), Tabella2[[#This Row],[Amplitute AXIAL stress  (MPa)]]*Tabella2[[#This Row],[Area (mm^2)]],"Null")</f>
        <v>6220.3534541077906</v>
      </c>
      <c r="AD21" s="8">
        <f>IF( AND(ISNUMBER(Tabella2[[#This Row],[Amplitude AXIAL force (N)]]), ISNUMBER(Tabella2[[#This Row],[Mean AXIAL force (N)]])), Tabella2[[#This Row],[Amplitude AXIAL force (N)]]+Tabella2[[#This Row],[Mean AXIAL force (N)]],"Null")</f>
        <v>6220.3534541077906</v>
      </c>
      <c r="AE2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1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32883.9071031208</v>
      </c>
      <c r="AG21" s="1">
        <f>IF(
   AND(ISNUMBER(Tabella2[[#This Row],[Mean TORQUE (Nmm)]]), ISNUMBER(Tabella2[[#This Row],[Amplitude TORQUE (Nmm)]])),
   Tabella2[[#This Row],[Mean TORQUE (Nmm)]]+Tabella2[[#This Row],[Amplitude TORQUE (Nmm)]],
   "Null"
)</f>
        <v>32883.9071031208</v>
      </c>
      <c r="AH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279.62832474554506</v>
      </c>
      <c r="AI2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0.5757575757575758</v>
      </c>
    </row>
    <row r="22" spans="1:36" x14ac:dyDescent="0.25">
      <c r="A22" s="1" t="s">
        <v>52</v>
      </c>
      <c r="B22" s="1">
        <v>2018</v>
      </c>
      <c r="C22" s="1" t="s">
        <v>51</v>
      </c>
      <c r="D22" s="1" t="s">
        <v>79</v>
      </c>
      <c r="E22" s="8">
        <v>11000000</v>
      </c>
      <c r="F22" s="1" t="s">
        <v>50</v>
      </c>
      <c r="G22" s="1" t="s">
        <v>67</v>
      </c>
      <c r="H22" s="1" t="e" vm="1">
        <v>#VALUE!</v>
      </c>
      <c r="I22" s="1" t="s">
        <v>65</v>
      </c>
      <c r="J22" s="1" t="s">
        <v>34</v>
      </c>
      <c r="K22" s="1">
        <v>11</v>
      </c>
      <c r="L22" s="8">
        <f t="shared" si="0"/>
        <v>31.415926535897931</v>
      </c>
      <c r="M22" s="8">
        <f t="shared" si="1"/>
        <v>793.25214503142274</v>
      </c>
      <c r="N22" s="1" t="s">
        <v>35</v>
      </c>
      <c r="O22" s="1" t="s">
        <v>35</v>
      </c>
      <c r="P22" s="1" t="s">
        <v>35</v>
      </c>
      <c r="Q22" s="1">
        <v>-1</v>
      </c>
      <c r="R22" s="1">
        <v>-1</v>
      </c>
      <c r="S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2" s="1" t="s">
        <v>35</v>
      </c>
      <c r="U2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2" s="1">
        <v>205</v>
      </c>
      <c r="W2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2" s="1">
        <v>118</v>
      </c>
      <c r="Y22" s="7" t="str">
        <f>Tabella2[[#This Row],[Mean RADIAL stress  (MPa)]]</f>
        <v>Null</v>
      </c>
      <c r="Z22" s="7" t="str">
        <f>Tabella2[[#This Row],[Amplitute RADIAL stress  (MPa)]]</f>
        <v>Null</v>
      </c>
      <c r="AA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2" s="8">
        <f>IF( AND(ISNUMBER(Tabella2[[#This Row],[Mean AXIAL stress  (MPa)]]), ISNUMBER(Tabella2[[#This Row],[Area (mm^2)]])), Tabella2[[#This Row],[Mean AXIAL stress  (MPa)]]*Tabella2[[#This Row],[Area (mm^2)]], "Null")</f>
        <v>0</v>
      </c>
      <c r="AC22" s="8">
        <f>IF( AND(ISNUMBER(Tabella2[[#This Row],[Amplitute AXIAL stress  (MPa)]]), ISNUMBER(Tabella2[[#This Row],[Area (mm^2)]])), Tabella2[[#This Row],[Amplitute AXIAL stress  (MPa)]]*Tabella2[[#This Row],[Area (mm^2)]],"Null")</f>
        <v>6440.2649398590756</v>
      </c>
      <c r="AD22" s="8">
        <f>IF( AND(ISNUMBER(Tabella2[[#This Row],[Amplitude AXIAL force (N)]]), ISNUMBER(Tabella2[[#This Row],[Mean AXIAL force (N)]])), Tabella2[[#This Row],[Amplitude AXIAL force (N)]]+Tabella2[[#This Row],[Mean AXIAL force (N)]],"Null")</f>
        <v>6440.2649398590756</v>
      </c>
      <c r="AE2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2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34037.728404984686</v>
      </c>
      <c r="AG22" s="1">
        <f>IF(
   AND(ISNUMBER(Tabella2[[#This Row],[Mean TORQUE (Nmm)]]), ISNUMBER(Tabella2[[#This Row],[Amplitude TORQUE (Nmm)]])),
   Tabella2[[#This Row],[Mean TORQUE (Nmm)]]+Tabella2[[#This Row],[Amplitude TORQUE (Nmm)]],
   "Null"
)</f>
        <v>34037.728404984686</v>
      </c>
      <c r="AH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289.47711481220756</v>
      </c>
      <c r="AI2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0.57560975609756093</v>
      </c>
    </row>
    <row r="23" spans="1:36" x14ac:dyDescent="0.25">
      <c r="A23" s="1" t="s">
        <v>52</v>
      </c>
      <c r="B23" s="1">
        <v>2018</v>
      </c>
      <c r="C23" s="1" t="s">
        <v>51</v>
      </c>
      <c r="D23" s="1" t="s">
        <v>80</v>
      </c>
      <c r="E23" s="8">
        <v>1458000</v>
      </c>
      <c r="F23" s="1" t="s">
        <v>34</v>
      </c>
      <c r="G23" s="1" t="s">
        <v>67</v>
      </c>
      <c r="H23" s="1" t="e" vm="1">
        <v>#VALUE!</v>
      </c>
      <c r="I23" s="1" t="s">
        <v>65</v>
      </c>
      <c r="J23" s="1" t="s">
        <v>34</v>
      </c>
      <c r="K23" s="1">
        <v>11</v>
      </c>
      <c r="L23" s="8">
        <f t="shared" si="0"/>
        <v>31.415926535897931</v>
      </c>
      <c r="M23" s="8">
        <f t="shared" si="1"/>
        <v>793.25214503142274</v>
      </c>
      <c r="N23" s="1" t="s">
        <v>35</v>
      </c>
      <c r="O23" s="1" t="s">
        <v>35</v>
      </c>
      <c r="P23" s="1" t="s">
        <v>35</v>
      </c>
      <c r="Q23" s="1">
        <v>-1</v>
      </c>
      <c r="R23" s="1">
        <v>-1</v>
      </c>
      <c r="S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3" s="1" t="s">
        <v>35</v>
      </c>
      <c r="U2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3" s="1">
        <v>210</v>
      </c>
      <c r="W2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3" s="1">
        <v>121</v>
      </c>
      <c r="Y23" s="7" t="str">
        <f>Tabella2[[#This Row],[Mean RADIAL stress  (MPa)]]</f>
        <v>Null</v>
      </c>
      <c r="Z23" s="7" t="str">
        <f>Tabella2[[#This Row],[Amplitute RADIAL stress  (MPa)]]</f>
        <v>Null</v>
      </c>
      <c r="AA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3" s="8">
        <f>IF( AND(ISNUMBER(Tabella2[[#This Row],[Mean AXIAL stress  (MPa)]]), ISNUMBER(Tabella2[[#This Row],[Area (mm^2)]])), Tabella2[[#This Row],[Mean AXIAL stress  (MPa)]]*Tabella2[[#This Row],[Area (mm^2)]], "Null")</f>
        <v>0</v>
      </c>
      <c r="AC23" s="8">
        <f>IF( AND(ISNUMBER(Tabella2[[#This Row],[Amplitute AXIAL stress  (MPa)]]), ISNUMBER(Tabella2[[#This Row],[Area (mm^2)]])), Tabella2[[#This Row],[Amplitute AXIAL stress  (MPa)]]*Tabella2[[#This Row],[Area (mm^2)]],"Null")</f>
        <v>6597.3445725385654</v>
      </c>
      <c r="AD23" s="8">
        <f>IF( AND(ISNUMBER(Tabella2[[#This Row],[Amplitude AXIAL force (N)]]), ISNUMBER(Tabella2[[#This Row],[Mean AXIAL force (N)]])), Tabella2[[#This Row],[Amplitude AXIAL force (N)]]+Tabella2[[#This Row],[Mean AXIAL force (N)]],"Null")</f>
        <v>6597.3445725385654</v>
      </c>
      <c r="AE2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3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34903.094381382602</v>
      </c>
      <c r="AG23" s="1">
        <f>IF(
   AND(ISNUMBER(Tabella2[[#This Row],[Mean TORQUE (Nmm)]]), ISNUMBER(Tabella2[[#This Row],[Amplitude TORQUE (Nmm)]])),
   Tabella2[[#This Row],[Mean TORQUE (Nmm)]]+Tabella2[[#This Row],[Amplitude TORQUE (Nmm)]],
   "Null"
)</f>
        <v>34903.094381382602</v>
      </c>
      <c r="AH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296.68670344321129</v>
      </c>
      <c r="AI2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0.57619047619047614</v>
      </c>
    </row>
    <row r="24" spans="1:36" ht="15" customHeight="1" x14ac:dyDescent="0.25">
      <c r="A24" s="1" t="s">
        <v>52</v>
      </c>
      <c r="B24" s="1">
        <v>2018</v>
      </c>
      <c r="C24" s="1" t="s">
        <v>51</v>
      </c>
      <c r="D24" s="1" t="s">
        <v>81</v>
      </c>
      <c r="E24" s="8">
        <v>11000000</v>
      </c>
      <c r="F24" s="1" t="s">
        <v>50</v>
      </c>
      <c r="G24" s="1" t="s">
        <v>67</v>
      </c>
      <c r="H24" s="1" t="e" vm="1">
        <v>#VALUE!</v>
      </c>
      <c r="I24" s="1" t="s">
        <v>65</v>
      </c>
      <c r="J24" s="1" t="s">
        <v>34</v>
      </c>
      <c r="K24" s="1">
        <v>11</v>
      </c>
      <c r="L24" s="8">
        <f t="shared" si="0"/>
        <v>31.415926535897931</v>
      </c>
      <c r="M24" s="8">
        <f t="shared" si="1"/>
        <v>793.25214503142274</v>
      </c>
      <c r="N24" s="1" t="s">
        <v>35</v>
      </c>
      <c r="O24" s="1" t="s">
        <v>35</v>
      </c>
      <c r="P24" s="1" t="s">
        <v>35</v>
      </c>
      <c r="Q24" s="1">
        <v>-1</v>
      </c>
      <c r="R24" s="1">
        <v>-1</v>
      </c>
      <c r="S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4" s="1" t="s">
        <v>35</v>
      </c>
      <c r="U2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4" s="1">
        <v>212</v>
      </c>
      <c r="W2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4" s="1">
        <v>123</v>
      </c>
      <c r="Y24" s="7" t="str">
        <f>Tabella2[[#This Row],[Mean RADIAL stress  (MPa)]]</f>
        <v>Null</v>
      </c>
      <c r="Z24" s="7" t="str">
        <f>Tabella2[[#This Row],[Amplitute RADIAL stress  (MPa)]]</f>
        <v>Null</v>
      </c>
      <c r="AA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4" s="8">
        <f>IF( AND(ISNUMBER(Tabella2[[#This Row],[Mean AXIAL stress  (MPa)]]), ISNUMBER(Tabella2[[#This Row],[Area (mm^2)]])), Tabella2[[#This Row],[Mean AXIAL stress  (MPa)]]*Tabella2[[#This Row],[Area (mm^2)]], "Null")</f>
        <v>0</v>
      </c>
      <c r="AC24" s="8">
        <f>IF( AND(ISNUMBER(Tabella2[[#This Row],[Amplitute AXIAL stress  (MPa)]]), ISNUMBER(Tabella2[[#This Row],[Area (mm^2)]])), Tabella2[[#This Row],[Amplitute AXIAL stress  (MPa)]]*Tabella2[[#This Row],[Area (mm^2)]],"Null")</f>
        <v>6660.1764256103615</v>
      </c>
      <c r="AD24" s="8">
        <f>IF( AND(ISNUMBER(Tabella2[[#This Row],[Amplitude AXIAL force (N)]]), ISNUMBER(Tabella2[[#This Row],[Mean AXIAL force (N)]])), Tabella2[[#This Row],[Amplitude AXIAL force (N)]]+Tabella2[[#This Row],[Mean AXIAL force (N)]],"Null")</f>
        <v>6660.1764256103615</v>
      </c>
      <c r="AE2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4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35480.005032314541</v>
      </c>
      <c r="AG24" s="1">
        <f>IF(
   AND(ISNUMBER(Tabella2[[#This Row],[Mean TORQUE (Nmm)]]), ISNUMBER(Tabella2[[#This Row],[Amplitude TORQUE (Nmm)]])),
   Tabella2[[#This Row],[Mean TORQUE (Nmm)]]+Tabella2[[#This Row],[Amplitude TORQUE (Nmm)]],
   "Null"
)</f>
        <v>35480.005032314541</v>
      </c>
      <c r="AH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300.55116037041017</v>
      </c>
      <c r="AI2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0.58018867924528306</v>
      </c>
    </row>
    <row r="25" spans="1:36" x14ac:dyDescent="0.25">
      <c r="A25" s="1" t="s">
        <v>52</v>
      </c>
      <c r="B25" s="1">
        <v>2018</v>
      </c>
      <c r="C25" s="1" t="s">
        <v>51</v>
      </c>
      <c r="D25" s="1" t="s">
        <v>82</v>
      </c>
      <c r="E25" s="8">
        <v>431000</v>
      </c>
      <c r="F25" s="1" t="s">
        <v>34</v>
      </c>
      <c r="G25" s="1" t="s">
        <v>67</v>
      </c>
      <c r="H25" s="1" t="e" vm="1">
        <v>#VALUE!</v>
      </c>
      <c r="I25" s="1" t="s">
        <v>65</v>
      </c>
      <c r="J25" s="1" t="s">
        <v>34</v>
      </c>
      <c r="K25" s="1">
        <v>11</v>
      </c>
      <c r="L25" s="8">
        <f t="shared" si="0"/>
        <v>31.415926535897931</v>
      </c>
      <c r="M25" s="8">
        <f t="shared" si="1"/>
        <v>793.25214503142274</v>
      </c>
      <c r="N25" s="1" t="s">
        <v>35</v>
      </c>
      <c r="O25" s="1" t="s">
        <v>35</v>
      </c>
      <c r="P25" s="1" t="s">
        <v>35</v>
      </c>
      <c r="Q25" s="1">
        <v>-1</v>
      </c>
      <c r="R25" s="1">
        <v>-1</v>
      </c>
      <c r="S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5" s="1" t="s">
        <v>35</v>
      </c>
      <c r="U2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5" s="1">
        <v>215</v>
      </c>
      <c r="W2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5" s="1">
        <v>124</v>
      </c>
      <c r="Y25" s="7" t="str">
        <f>Tabella2[[#This Row],[Mean RADIAL stress  (MPa)]]</f>
        <v>Null</v>
      </c>
      <c r="Z25" s="7" t="str">
        <f>Tabella2[[#This Row],[Amplitute RADIAL stress  (MPa)]]</f>
        <v>Null</v>
      </c>
      <c r="AA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5" s="8">
        <f>IF( AND(ISNUMBER(Tabella2[[#This Row],[Mean AXIAL stress  (MPa)]]), ISNUMBER(Tabella2[[#This Row],[Area (mm^2)]])), Tabella2[[#This Row],[Mean AXIAL stress  (MPa)]]*Tabella2[[#This Row],[Area (mm^2)]], "Null")</f>
        <v>0</v>
      </c>
      <c r="AC25" s="8">
        <f>IF( AND(ISNUMBER(Tabella2[[#This Row],[Amplitute AXIAL stress  (MPa)]]), ISNUMBER(Tabella2[[#This Row],[Area (mm^2)]])), Tabella2[[#This Row],[Amplitute AXIAL stress  (MPa)]]*Tabella2[[#This Row],[Area (mm^2)]],"Null")</f>
        <v>6754.4242052180552</v>
      </c>
      <c r="AD25" s="8">
        <f>IF( AND(ISNUMBER(Tabella2[[#This Row],[Amplitude AXIAL force (N)]]), ISNUMBER(Tabella2[[#This Row],[Mean AXIAL force (N)]])), Tabella2[[#This Row],[Amplitude AXIAL force (N)]]+Tabella2[[#This Row],[Mean AXIAL force (N)]],"Null")</f>
        <v>6754.4242052180552</v>
      </c>
      <c r="AE2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5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35768.460357780517</v>
      </c>
      <c r="AG25" s="1">
        <f>IF(
   AND(ISNUMBER(Tabella2[[#This Row],[Mean TORQUE (Nmm)]]), ISNUMBER(Tabella2[[#This Row],[Amplitude TORQUE (Nmm)]])),
   Tabella2[[#This Row],[Mean TORQUE (Nmm)]]+Tabella2[[#This Row],[Amplitude TORQUE (Nmm)]],
   "Null"
)</f>
        <v>35768.460357780517</v>
      </c>
      <c r="AH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303.89636391375268</v>
      </c>
      <c r="AI2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0.57674418604651168</v>
      </c>
    </row>
    <row r="26" spans="1:36" x14ac:dyDescent="0.25">
      <c r="A26" s="1" t="s">
        <v>52</v>
      </c>
      <c r="B26" s="1">
        <v>2018</v>
      </c>
      <c r="C26" s="1" t="s">
        <v>51</v>
      </c>
      <c r="D26" s="1" t="s">
        <v>83</v>
      </c>
      <c r="E26" s="8">
        <v>246000</v>
      </c>
      <c r="F26" s="1" t="s">
        <v>34</v>
      </c>
      <c r="G26" s="1" t="s">
        <v>67</v>
      </c>
      <c r="H26" s="1" t="e" vm="1">
        <v>#VALUE!</v>
      </c>
      <c r="I26" s="1" t="s">
        <v>65</v>
      </c>
      <c r="J26" s="1" t="s">
        <v>34</v>
      </c>
      <c r="K26" s="1">
        <v>11</v>
      </c>
      <c r="L26" s="8">
        <f t="shared" si="0"/>
        <v>31.415926535897931</v>
      </c>
      <c r="M26" s="8">
        <f t="shared" si="1"/>
        <v>793.25214503142274</v>
      </c>
      <c r="N26" s="1" t="s">
        <v>35</v>
      </c>
      <c r="O26" s="1" t="s">
        <v>35</v>
      </c>
      <c r="P26" s="1" t="s">
        <v>35</v>
      </c>
      <c r="Q26" s="1">
        <v>-1</v>
      </c>
      <c r="R26" s="1">
        <v>-1</v>
      </c>
      <c r="S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6" s="1" t="s">
        <v>35</v>
      </c>
      <c r="U2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6" s="1">
        <v>219</v>
      </c>
      <c r="W2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6" s="1">
        <v>127</v>
      </c>
      <c r="Y26" s="7" t="str">
        <f>Tabella2[[#This Row],[Mean RADIAL stress  (MPa)]]</f>
        <v>Null</v>
      </c>
      <c r="Z26" s="7" t="str">
        <f>Tabella2[[#This Row],[Amplitute RADIAL stress  (MPa)]]</f>
        <v>Null</v>
      </c>
      <c r="AA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6" s="8">
        <f>IF( AND(ISNUMBER(Tabella2[[#This Row],[Mean AXIAL stress  (MPa)]]), ISNUMBER(Tabella2[[#This Row],[Area (mm^2)]])), Tabella2[[#This Row],[Mean AXIAL stress  (MPa)]]*Tabella2[[#This Row],[Area (mm^2)]], "Null")</f>
        <v>0</v>
      </c>
      <c r="AC26" s="8">
        <f>IF( AND(ISNUMBER(Tabella2[[#This Row],[Amplitute AXIAL stress  (MPa)]]), ISNUMBER(Tabella2[[#This Row],[Area (mm^2)]])), Tabella2[[#This Row],[Amplitute AXIAL stress  (MPa)]]*Tabella2[[#This Row],[Area (mm^2)]],"Null")</f>
        <v>6880.0879113616465</v>
      </c>
      <c r="AD26" s="8">
        <f>IF( AND(ISNUMBER(Tabella2[[#This Row],[Amplitude AXIAL force (N)]]), ISNUMBER(Tabella2[[#This Row],[Mean AXIAL force (N)]])), Tabella2[[#This Row],[Amplitude AXIAL force (N)]]+Tabella2[[#This Row],[Mean AXIAL force (N)]],"Null")</f>
        <v>6880.0879113616465</v>
      </c>
      <c r="AE2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6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36633.826334178433</v>
      </c>
      <c r="AG26" s="1">
        <f>IF(
   AND(ISNUMBER(Tabella2[[#This Row],[Mean TORQUE (Nmm)]]), ISNUMBER(Tabella2[[#This Row],[Amplitude TORQUE (Nmm)]])),
   Tabella2[[#This Row],[Mean TORQUE (Nmm)]]+Tabella2[[#This Row],[Amplitude TORQUE (Nmm)]],
   "Null"
)</f>
        <v>36633.826334178433</v>
      </c>
      <c r="AH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310.39974226793424</v>
      </c>
      <c r="AI2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0.57990867579908678</v>
      </c>
    </row>
    <row r="27" spans="1:36" x14ac:dyDescent="0.25">
      <c r="A27" s="1" t="s">
        <v>52</v>
      </c>
      <c r="B27" s="1">
        <v>2018</v>
      </c>
      <c r="C27" s="1" t="s">
        <v>51</v>
      </c>
      <c r="D27" s="1" t="s">
        <v>84</v>
      </c>
      <c r="E27" s="8">
        <v>102000</v>
      </c>
      <c r="F27" s="1" t="s">
        <v>34</v>
      </c>
      <c r="G27" s="1" t="s">
        <v>67</v>
      </c>
      <c r="H27" s="1" t="e" vm="1">
        <v>#VALUE!</v>
      </c>
      <c r="I27" s="1" t="s">
        <v>65</v>
      </c>
      <c r="J27" s="1" t="s">
        <v>34</v>
      </c>
      <c r="K27" s="1">
        <v>11</v>
      </c>
      <c r="L27" s="8">
        <f t="shared" si="0"/>
        <v>31.415926535897931</v>
      </c>
      <c r="M27" s="8">
        <f t="shared" si="1"/>
        <v>793.25214503142274</v>
      </c>
      <c r="N27" s="1" t="s">
        <v>35</v>
      </c>
      <c r="O27" s="1" t="s">
        <v>35</v>
      </c>
      <c r="P27" s="1" t="s">
        <v>35</v>
      </c>
      <c r="Q27" s="1">
        <v>-1</v>
      </c>
      <c r="R27" s="1">
        <v>-1</v>
      </c>
      <c r="S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7" s="1" t="s">
        <v>35</v>
      </c>
      <c r="U2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7" s="1">
        <v>220</v>
      </c>
      <c r="W2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7" s="1">
        <v>127</v>
      </c>
      <c r="Y27" s="7" t="str">
        <f>Tabella2[[#This Row],[Mean RADIAL stress  (MPa)]]</f>
        <v>Null</v>
      </c>
      <c r="Z27" s="7" t="str">
        <f>Tabella2[[#This Row],[Amplitute RADIAL stress  (MPa)]]</f>
        <v>Null</v>
      </c>
      <c r="AA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7" s="8">
        <f>IF( AND(ISNUMBER(Tabella2[[#This Row],[Mean AXIAL stress  (MPa)]]), ISNUMBER(Tabella2[[#This Row],[Area (mm^2)]])), Tabella2[[#This Row],[Mean AXIAL stress  (MPa)]]*Tabella2[[#This Row],[Area (mm^2)]], "Null")</f>
        <v>0</v>
      </c>
      <c r="AC27" s="8">
        <f>IF( AND(ISNUMBER(Tabella2[[#This Row],[Amplitute AXIAL stress  (MPa)]]), ISNUMBER(Tabella2[[#This Row],[Area (mm^2)]])), Tabella2[[#This Row],[Amplitute AXIAL stress  (MPa)]]*Tabella2[[#This Row],[Area (mm^2)]],"Null")</f>
        <v>6911.5038378975451</v>
      </c>
      <c r="AD27" s="8">
        <f>IF( AND(ISNUMBER(Tabella2[[#This Row],[Amplitude AXIAL force (N)]]), ISNUMBER(Tabella2[[#This Row],[Mean AXIAL force (N)]])), Tabella2[[#This Row],[Amplitude AXIAL force (N)]]+Tabella2[[#This Row],[Mean AXIAL force (N)]],"Null")</f>
        <v>6911.5038378975451</v>
      </c>
      <c r="AE2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7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36633.826334178433</v>
      </c>
      <c r="AG27" s="1">
        <f>IF(
   AND(ISNUMBER(Tabella2[[#This Row],[Mean TORQUE (Nmm)]]), ISNUMBER(Tabella2[[#This Row],[Amplitude TORQUE (Nmm)]])),
   Tabella2[[#This Row],[Mean TORQUE (Nmm)]]+Tabella2[[#This Row],[Amplitude TORQUE (Nmm)]],
   "Null"
)</f>
        <v>36633.826334178433</v>
      </c>
      <c r="AH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311.10609122934255</v>
      </c>
      <c r="AI2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0.57727272727272727</v>
      </c>
    </row>
    <row r="28" spans="1:36" x14ac:dyDescent="0.25">
      <c r="A28" s="1" t="s">
        <v>52</v>
      </c>
      <c r="B28" s="1">
        <v>2018</v>
      </c>
      <c r="C28" s="1" t="s">
        <v>51</v>
      </c>
      <c r="D28" s="1" t="s">
        <v>85</v>
      </c>
      <c r="E28" s="8">
        <v>116000</v>
      </c>
      <c r="F28" s="1" t="s">
        <v>34</v>
      </c>
      <c r="G28" s="1" t="s">
        <v>67</v>
      </c>
      <c r="H28" s="1" t="e" vm="1">
        <v>#VALUE!</v>
      </c>
      <c r="I28" s="1" t="s">
        <v>65</v>
      </c>
      <c r="J28" s="1" t="s">
        <v>34</v>
      </c>
      <c r="K28" s="1">
        <v>11</v>
      </c>
      <c r="L28" s="8">
        <f t="shared" si="0"/>
        <v>31.415926535897931</v>
      </c>
      <c r="M28" s="8">
        <f t="shared" si="1"/>
        <v>793.25214503142274</v>
      </c>
      <c r="N28" s="1" t="s">
        <v>35</v>
      </c>
      <c r="O28" s="1" t="s">
        <v>35</v>
      </c>
      <c r="P28" s="1" t="s">
        <v>35</v>
      </c>
      <c r="Q28" s="1">
        <v>-1</v>
      </c>
      <c r="R28" s="1">
        <v>-1</v>
      </c>
      <c r="S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8" s="1" t="s">
        <v>35</v>
      </c>
      <c r="U2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8" s="1">
        <v>226</v>
      </c>
      <c r="W2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8" s="1">
        <v>131</v>
      </c>
      <c r="Y28" s="7" t="str">
        <f>Tabella2[[#This Row],[Mean RADIAL stress  (MPa)]]</f>
        <v>Null</v>
      </c>
      <c r="Z28" s="7" t="str">
        <f>Tabella2[[#This Row],[Amplitute RADIAL stress  (MPa)]]</f>
        <v>Null</v>
      </c>
      <c r="AA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8" s="8">
        <f>IF( AND(ISNUMBER(Tabella2[[#This Row],[Mean AXIAL stress  (MPa)]]), ISNUMBER(Tabella2[[#This Row],[Area (mm^2)]])), Tabella2[[#This Row],[Mean AXIAL stress  (MPa)]]*Tabella2[[#This Row],[Area (mm^2)]], "Null")</f>
        <v>0</v>
      </c>
      <c r="AC28" s="8">
        <f>IF( AND(ISNUMBER(Tabella2[[#This Row],[Amplitute AXIAL stress  (MPa)]]), ISNUMBER(Tabella2[[#This Row],[Area (mm^2)]])), Tabella2[[#This Row],[Amplitute AXIAL stress  (MPa)]]*Tabella2[[#This Row],[Area (mm^2)]],"Null")</f>
        <v>7099.9993971129325</v>
      </c>
      <c r="AD28" s="8">
        <f>IF( AND(ISNUMBER(Tabella2[[#This Row],[Amplitude AXIAL force (N)]]), ISNUMBER(Tabella2[[#This Row],[Mean AXIAL force (N)]])), Tabella2[[#This Row],[Amplitude AXIAL force (N)]]+Tabella2[[#This Row],[Mean AXIAL force (N)]],"Null")</f>
        <v>7099.9993971129325</v>
      </c>
      <c r="AE2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8" s="1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37787.647636042318</v>
      </c>
      <c r="AG28" s="1">
        <f>IF(
   AND(ISNUMBER(Tabella2[[#This Row],[Mean TORQUE (Nmm)]]), ISNUMBER(Tabella2[[#This Row],[Amplitude TORQUE (Nmm)]])),
   Tabella2[[#This Row],[Mean TORQUE (Nmm)]]+Tabella2[[#This Row],[Amplitude TORQUE (Nmm)]],
   "Null"
)</f>
        <v>37787.647636042318</v>
      </c>
      <c r="AH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320.24834113543818</v>
      </c>
      <c r="AI2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0.57964601769911506</v>
      </c>
    </row>
    <row r="29" spans="1:36" x14ac:dyDescent="0.25">
      <c r="A29" s="1" t="s">
        <v>86</v>
      </c>
      <c r="B29" s="1">
        <v>2024</v>
      </c>
      <c r="C29" s="1" t="s">
        <v>55</v>
      </c>
      <c r="D29" s="1" t="s">
        <v>87</v>
      </c>
      <c r="E29" s="8">
        <v>38505</v>
      </c>
      <c r="F29" s="1" t="s">
        <v>34</v>
      </c>
      <c r="G29" s="1" t="s">
        <v>43</v>
      </c>
      <c r="H29" s="1" t="e" vm="2">
        <v>#VALUE!</v>
      </c>
      <c r="I29" s="1" t="s">
        <v>109</v>
      </c>
      <c r="J29" s="1" t="s">
        <v>50</v>
      </c>
      <c r="K29" s="1" t="s">
        <v>35</v>
      </c>
      <c r="L29" s="8">
        <f>6*4</f>
        <v>24</v>
      </c>
      <c r="M29" s="8" t="s">
        <v>35</v>
      </c>
      <c r="N29" s="1" t="s">
        <v>35</v>
      </c>
      <c r="O29" s="1" t="s">
        <v>35</v>
      </c>
      <c r="P29" s="1" t="s">
        <v>35</v>
      </c>
      <c r="Q29" s="1">
        <v>0</v>
      </c>
      <c r="R29" s="1" t="s">
        <v>35</v>
      </c>
      <c r="S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9" s="1" t="s">
        <v>35</v>
      </c>
      <c r="U29" s="1">
        <f>IF(ISNUMBER(Tabella2[[#This Row],[Amplitute AXIAL stress  (MPa)]]), (1+Tabella2[[#This Row],[Load ratio (AXIAL)]])*Tabella2[[#This Row],[Amplitute AXIAL stress  (MPa)]]/(1-Tabella2[[#This Row],[Load ratio (AXIAL)]]), "Null")</f>
        <v>140</v>
      </c>
      <c r="V29" s="1">
        <v>140</v>
      </c>
      <c r="W2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9" s="1" t="s">
        <v>35</v>
      </c>
      <c r="Y29" s="7" t="str">
        <f>Tabella2[[#This Row],[Mean RADIAL stress  (MPa)]]</f>
        <v>Null</v>
      </c>
      <c r="Z29" s="7" t="str">
        <f>Tabella2[[#This Row],[Amplitute RADIAL stress  (MPa)]]</f>
        <v>Null</v>
      </c>
      <c r="AA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9" s="8">
        <f>IF( AND(ISNUMBER(Tabella2[[#This Row],[Mean AXIAL stress  (MPa)]]), ISNUMBER(Tabella2[[#This Row],[Area (mm^2)]])), Tabella2[[#This Row],[Mean AXIAL stress  (MPa)]]*Tabella2[[#This Row],[Area (mm^2)]], "Null")</f>
        <v>3360</v>
      </c>
      <c r="AC29" s="8">
        <f>IF( AND(ISNUMBER(Tabella2[[#This Row],[Amplitute AXIAL stress  (MPa)]]), ISNUMBER(Tabella2[[#This Row],[Area (mm^2)]])), Tabella2[[#This Row],[Amplitute AXIAL stress  (MPa)]]*Tabella2[[#This Row],[Area (mm^2)]],"Null")</f>
        <v>3360</v>
      </c>
      <c r="AD29" s="8">
        <f>IF( AND(ISNUMBER(Tabella2[[#This Row],[Amplitude AXIAL force (N)]]), ISNUMBER(Tabella2[[#This Row],[Mean AXIAL force (N)]])), Tabella2[[#This Row],[Amplitude AXIAL force (N)]]+Tabella2[[#This Row],[Mean AXIAL force (N)]],"Null")</f>
        <v>6720</v>
      </c>
      <c r="AE2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2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2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0" spans="1:36" x14ac:dyDescent="0.25">
      <c r="A30" s="1" t="s">
        <v>86</v>
      </c>
      <c r="B30" s="1">
        <v>2024</v>
      </c>
      <c r="C30" s="1" t="s">
        <v>55</v>
      </c>
      <c r="D30" s="1" t="s">
        <v>88</v>
      </c>
      <c r="E30" s="8">
        <v>89454</v>
      </c>
      <c r="F30" s="1" t="s">
        <v>34</v>
      </c>
      <c r="G30" s="1" t="s">
        <v>43</v>
      </c>
      <c r="H30" s="1" t="e" vm="2">
        <v>#VALUE!</v>
      </c>
      <c r="I30" s="1" t="s">
        <v>109</v>
      </c>
      <c r="J30" s="1" t="s">
        <v>50</v>
      </c>
      <c r="K30" s="1" t="s">
        <v>35</v>
      </c>
      <c r="L30" s="8">
        <f t="shared" ref="L30:L70" si="2">6*4</f>
        <v>24</v>
      </c>
      <c r="M30" s="8" t="s">
        <v>35</v>
      </c>
      <c r="N30" s="1" t="s">
        <v>35</v>
      </c>
      <c r="O30" s="1" t="s">
        <v>35</v>
      </c>
      <c r="P30" s="1" t="s">
        <v>35</v>
      </c>
      <c r="Q30" s="1">
        <v>0</v>
      </c>
      <c r="R30" s="1" t="s">
        <v>35</v>
      </c>
      <c r="S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0" s="1" t="s">
        <v>35</v>
      </c>
      <c r="U30" s="1">
        <f>IF(ISNUMBER(Tabella2[[#This Row],[Amplitute AXIAL stress  (MPa)]]), (1+Tabella2[[#This Row],[Load ratio (AXIAL)]])*Tabella2[[#This Row],[Amplitute AXIAL stress  (MPa)]]/(1-Tabella2[[#This Row],[Load ratio (AXIAL)]]), "Null")</f>
        <v>125</v>
      </c>
      <c r="V30" s="1">
        <v>125</v>
      </c>
      <c r="W3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0" s="1" t="s">
        <v>35</v>
      </c>
      <c r="Y30" s="7" t="str">
        <f>Tabella2[[#This Row],[Mean RADIAL stress  (MPa)]]</f>
        <v>Null</v>
      </c>
      <c r="Z30" s="7" t="str">
        <f>Tabella2[[#This Row],[Amplitute RADIAL stress  (MPa)]]</f>
        <v>Null</v>
      </c>
      <c r="AA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0" s="8">
        <f>IF( AND(ISNUMBER(Tabella2[[#This Row],[Mean AXIAL stress  (MPa)]]), ISNUMBER(Tabella2[[#This Row],[Area (mm^2)]])), Tabella2[[#This Row],[Mean AXIAL stress  (MPa)]]*Tabella2[[#This Row],[Area (mm^2)]], "Null")</f>
        <v>3000</v>
      </c>
      <c r="AC30" s="8">
        <f>IF( AND(ISNUMBER(Tabella2[[#This Row],[Amplitute AXIAL stress  (MPa)]]), ISNUMBER(Tabella2[[#This Row],[Area (mm^2)]])), Tabella2[[#This Row],[Amplitute AXIAL stress  (MPa)]]*Tabella2[[#This Row],[Area (mm^2)]],"Null")</f>
        <v>3000</v>
      </c>
      <c r="AD30" s="8">
        <f>IF( AND(ISNUMBER(Tabella2[[#This Row],[Amplitude AXIAL force (N)]]), ISNUMBER(Tabella2[[#This Row],[Mean AXIAL force (N)]])), Tabella2[[#This Row],[Amplitude AXIAL force (N)]]+Tabella2[[#This Row],[Mean AXIAL force (N)]],"Null")</f>
        <v>6000</v>
      </c>
      <c r="AE3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3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1" spans="1:36" x14ac:dyDescent="0.25">
      <c r="A31" s="1" t="s">
        <v>86</v>
      </c>
      <c r="B31" s="1">
        <v>2024</v>
      </c>
      <c r="C31" s="1" t="s">
        <v>55</v>
      </c>
      <c r="D31" s="1" t="s">
        <v>89</v>
      </c>
      <c r="E31" s="8">
        <v>201484</v>
      </c>
      <c r="F31" s="1" t="s">
        <v>34</v>
      </c>
      <c r="G31" s="1" t="s">
        <v>43</v>
      </c>
      <c r="H31" s="1" t="e" vm="2">
        <v>#VALUE!</v>
      </c>
      <c r="I31" s="1" t="s">
        <v>109</v>
      </c>
      <c r="J31" s="1" t="s">
        <v>50</v>
      </c>
      <c r="K31" s="1" t="s">
        <v>35</v>
      </c>
      <c r="L31" s="8">
        <f t="shared" si="2"/>
        <v>24</v>
      </c>
      <c r="M31" s="8" t="s">
        <v>35</v>
      </c>
      <c r="N31" s="1" t="s">
        <v>35</v>
      </c>
      <c r="O31" s="1" t="s">
        <v>35</v>
      </c>
      <c r="P31" s="1" t="s">
        <v>35</v>
      </c>
      <c r="Q31" s="1">
        <v>0</v>
      </c>
      <c r="R31" s="1" t="s">
        <v>35</v>
      </c>
      <c r="S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1" s="1" t="s">
        <v>35</v>
      </c>
      <c r="U31" s="1">
        <f>IF(ISNUMBER(Tabella2[[#This Row],[Amplitute AXIAL stress  (MPa)]]), (1+Tabella2[[#This Row],[Load ratio (AXIAL)]])*Tabella2[[#This Row],[Amplitute AXIAL stress  (MPa)]]/(1-Tabella2[[#This Row],[Load ratio (AXIAL)]]), "Null")</f>
        <v>108.5</v>
      </c>
      <c r="V31" s="1">
        <v>108.5</v>
      </c>
      <c r="W3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1" s="1" t="s">
        <v>35</v>
      </c>
      <c r="Y31" s="7" t="str">
        <f>Tabella2[[#This Row],[Mean RADIAL stress  (MPa)]]</f>
        <v>Null</v>
      </c>
      <c r="Z31" s="7" t="str">
        <f>Tabella2[[#This Row],[Amplitute RADIAL stress  (MPa)]]</f>
        <v>Null</v>
      </c>
      <c r="AA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1" s="8">
        <f>IF( AND(ISNUMBER(Tabella2[[#This Row],[Mean AXIAL stress  (MPa)]]), ISNUMBER(Tabella2[[#This Row],[Area (mm^2)]])), Tabella2[[#This Row],[Mean AXIAL stress  (MPa)]]*Tabella2[[#This Row],[Area (mm^2)]], "Null")</f>
        <v>2604</v>
      </c>
      <c r="AC31" s="8">
        <f>IF( AND(ISNUMBER(Tabella2[[#This Row],[Amplitute AXIAL stress  (MPa)]]), ISNUMBER(Tabella2[[#This Row],[Area (mm^2)]])), Tabella2[[#This Row],[Amplitute AXIAL stress  (MPa)]]*Tabella2[[#This Row],[Area (mm^2)]],"Null")</f>
        <v>2604</v>
      </c>
      <c r="AD31" s="8">
        <f>IF( AND(ISNUMBER(Tabella2[[#This Row],[Amplitude AXIAL force (N)]]), ISNUMBER(Tabella2[[#This Row],[Mean AXIAL force (N)]])), Tabella2[[#This Row],[Amplitude AXIAL force (N)]]+Tabella2[[#This Row],[Mean AXIAL force (N)]],"Null")</f>
        <v>5208</v>
      </c>
      <c r="AE3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108.5</v>
      </c>
      <c r="AI3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2" spans="1:36" x14ac:dyDescent="0.25">
      <c r="A32" s="1" t="s">
        <v>86</v>
      </c>
      <c r="B32" s="1">
        <v>2024</v>
      </c>
      <c r="C32" s="1" t="s">
        <v>55</v>
      </c>
      <c r="D32" s="1" t="s">
        <v>90</v>
      </c>
      <c r="E32" s="8">
        <v>247818</v>
      </c>
      <c r="F32" s="1" t="s">
        <v>34</v>
      </c>
      <c r="G32" s="1" t="s">
        <v>43</v>
      </c>
      <c r="H32" s="1" t="e" vm="2">
        <v>#VALUE!</v>
      </c>
      <c r="I32" s="1" t="s">
        <v>109</v>
      </c>
      <c r="J32" s="1" t="s">
        <v>50</v>
      </c>
      <c r="K32" s="1" t="s">
        <v>35</v>
      </c>
      <c r="L32" s="8">
        <f t="shared" si="2"/>
        <v>24</v>
      </c>
      <c r="M32" s="8" t="s">
        <v>35</v>
      </c>
      <c r="N32" s="1" t="s">
        <v>35</v>
      </c>
      <c r="O32" s="1" t="s">
        <v>35</v>
      </c>
      <c r="P32" s="1" t="s">
        <v>35</v>
      </c>
      <c r="Q32" s="1">
        <v>0</v>
      </c>
      <c r="R32" s="1" t="s">
        <v>35</v>
      </c>
      <c r="S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2" s="1" t="s">
        <v>35</v>
      </c>
      <c r="U32" s="1">
        <f>IF(ISNUMBER(Tabella2[[#This Row],[Amplitute AXIAL stress  (MPa)]]), (1+Tabella2[[#This Row],[Load ratio (AXIAL)]])*Tabella2[[#This Row],[Amplitute AXIAL stress  (MPa)]]/(1-Tabella2[[#This Row],[Load ratio (AXIAL)]]), "Null")</f>
        <v>120</v>
      </c>
      <c r="V32" s="1">
        <v>120</v>
      </c>
      <c r="W3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2" s="1" t="s">
        <v>35</v>
      </c>
      <c r="Y32" s="7" t="str">
        <f>Tabella2[[#This Row],[Mean RADIAL stress  (MPa)]]</f>
        <v>Null</v>
      </c>
      <c r="Z32" s="7" t="str">
        <f>Tabella2[[#This Row],[Amplitute RADIAL stress  (MPa)]]</f>
        <v>Null</v>
      </c>
      <c r="AA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2" s="8">
        <f>IF( AND(ISNUMBER(Tabella2[[#This Row],[Mean AXIAL stress  (MPa)]]), ISNUMBER(Tabella2[[#This Row],[Area (mm^2)]])), Tabella2[[#This Row],[Mean AXIAL stress  (MPa)]]*Tabella2[[#This Row],[Area (mm^2)]], "Null")</f>
        <v>2880</v>
      </c>
      <c r="AC32" s="8">
        <f>IF( AND(ISNUMBER(Tabella2[[#This Row],[Amplitute AXIAL stress  (MPa)]]), ISNUMBER(Tabella2[[#This Row],[Area (mm^2)]])), Tabella2[[#This Row],[Amplitute AXIAL stress  (MPa)]]*Tabella2[[#This Row],[Area (mm^2)]],"Null")</f>
        <v>2880</v>
      </c>
      <c r="AD32" s="8">
        <f>IF( AND(ISNUMBER(Tabella2[[#This Row],[Amplitude AXIAL force (N)]]), ISNUMBER(Tabella2[[#This Row],[Mean AXIAL force (N)]])), Tabella2[[#This Row],[Amplitude AXIAL force (N)]]+Tabella2[[#This Row],[Mean AXIAL force (N)]],"Null")</f>
        <v>5760</v>
      </c>
      <c r="AE3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3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3" spans="1:35" x14ac:dyDescent="0.25">
      <c r="A33" s="1" t="s">
        <v>86</v>
      </c>
      <c r="B33" s="1">
        <v>2024</v>
      </c>
      <c r="C33" s="1" t="s">
        <v>55</v>
      </c>
      <c r="D33" s="1" t="s">
        <v>91</v>
      </c>
      <c r="E33" s="8">
        <v>261733</v>
      </c>
      <c r="F33" s="1" t="s">
        <v>34</v>
      </c>
      <c r="G33" s="1" t="s">
        <v>43</v>
      </c>
      <c r="H33" s="1" t="e" vm="2">
        <v>#VALUE!</v>
      </c>
      <c r="I33" s="1" t="s">
        <v>109</v>
      </c>
      <c r="J33" s="1" t="s">
        <v>50</v>
      </c>
      <c r="K33" s="1" t="s">
        <v>35</v>
      </c>
      <c r="L33" s="8">
        <f t="shared" si="2"/>
        <v>24</v>
      </c>
      <c r="M33" s="8" t="s">
        <v>35</v>
      </c>
      <c r="N33" s="1" t="s">
        <v>35</v>
      </c>
      <c r="O33" s="1" t="s">
        <v>35</v>
      </c>
      <c r="P33" s="1" t="s">
        <v>35</v>
      </c>
      <c r="Q33" s="1">
        <v>0</v>
      </c>
      <c r="R33" s="1" t="s">
        <v>35</v>
      </c>
      <c r="S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3" s="1" t="s">
        <v>35</v>
      </c>
      <c r="U33" s="1">
        <f>IF(ISNUMBER(Tabella2[[#This Row],[Amplitute AXIAL stress  (MPa)]]), (1+Tabella2[[#This Row],[Load ratio (AXIAL)]])*Tabella2[[#This Row],[Amplitute AXIAL stress  (MPa)]]/(1-Tabella2[[#This Row],[Load ratio (AXIAL)]]), "Null")</f>
        <v>108.5</v>
      </c>
      <c r="V33" s="1">
        <v>108.5</v>
      </c>
      <c r="W3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3" s="1" t="s">
        <v>35</v>
      </c>
      <c r="Y33" s="7" t="str">
        <f>Tabella2[[#This Row],[Mean RADIAL stress  (MPa)]]</f>
        <v>Null</v>
      </c>
      <c r="Z33" s="7" t="str">
        <f>Tabella2[[#This Row],[Amplitute RADIAL stress  (MPa)]]</f>
        <v>Null</v>
      </c>
      <c r="AA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3" s="8">
        <f>IF( AND(ISNUMBER(Tabella2[[#This Row],[Mean AXIAL stress  (MPa)]]), ISNUMBER(Tabella2[[#This Row],[Area (mm^2)]])), Tabella2[[#This Row],[Mean AXIAL stress  (MPa)]]*Tabella2[[#This Row],[Area (mm^2)]], "Null")</f>
        <v>2604</v>
      </c>
      <c r="AC33" s="8">
        <f>IF( AND(ISNUMBER(Tabella2[[#This Row],[Amplitute AXIAL stress  (MPa)]]), ISNUMBER(Tabella2[[#This Row],[Area (mm^2)]])), Tabella2[[#This Row],[Amplitute AXIAL stress  (MPa)]]*Tabella2[[#This Row],[Area (mm^2)]],"Null")</f>
        <v>2604</v>
      </c>
      <c r="AD33" s="8">
        <f>IF( AND(ISNUMBER(Tabella2[[#This Row],[Amplitude AXIAL force (N)]]), ISNUMBER(Tabella2[[#This Row],[Mean AXIAL force (N)]])), Tabella2[[#This Row],[Amplitude AXIAL force (N)]]+Tabella2[[#This Row],[Mean AXIAL force (N)]],"Null")</f>
        <v>5208</v>
      </c>
      <c r="AE3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108.5</v>
      </c>
      <c r="AI3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4" spans="1:35" x14ac:dyDescent="0.25">
      <c r="A34" s="1" t="s">
        <v>86</v>
      </c>
      <c r="B34" s="1">
        <v>2024</v>
      </c>
      <c r="C34" s="1" t="s">
        <v>55</v>
      </c>
      <c r="D34" s="1" t="s">
        <v>92</v>
      </c>
      <c r="E34" s="8">
        <v>347141</v>
      </c>
      <c r="F34" s="1" t="s">
        <v>34</v>
      </c>
      <c r="G34" s="1" t="s">
        <v>43</v>
      </c>
      <c r="H34" s="1" t="e" vm="2">
        <v>#VALUE!</v>
      </c>
      <c r="I34" s="1" t="s">
        <v>109</v>
      </c>
      <c r="J34" s="1" t="s">
        <v>50</v>
      </c>
      <c r="K34" s="1" t="s">
        <v>35</v>
      </c>
      <c r="L34" s="8">
        <f t="shared" si="2"/>
        <v>24</v>
      </c>
      <c r="M34" s="8" t="s">
        <v>35</v>
      </c>
      <c r="N34" s="1" t="s">
        <v>35</v>
      </c>
      <c r="O34" s="1" t="s">
        <v>35</v>
      </c>
      <c r="P34" s="1" t="s">
        <v>35</v>
      </c>
      <c r="Q34" s="1">
        <v>0</v>
      </c>
      <c r="R34" s="1" t="s">
        <v>35</v>
      </c>
      <c r="S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4" s="1" t="s">
        <v>35</v>
      </c>
      <c r="U34" s="1">
        <f>IF(ISNUMBER(Tabella2[[#This Row],[Amplitute AXIAL stress  (MPa)]]), (1+Tabella2[[#This Row],[Load ratio (AXIAL)]])*Tabella2[[#This Row],[Amplitute AXIAL stress  (MPa)]]/(1-Tabella2[[#This Row],[Load ratio (AXIAL)]]), "Null")</f>
        <v>100</v>
      </c>
      <c r="V34" s="1">
        <v>100</v>
      </c>
      <c r="W3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4" s="1" t="s">
        <v>35</v>
      </c>
      <c r="Y34" s="7" t="str">
        <f>Tabella2[[#This Row],[Mean RADIAL stress  (MPa)]]</f>
        <v>Null</v>
      </c>
      <c r="Z34" s="7" t="str">
        <f>Tabella2[[#This Row],[Amplitute RADIAL stress  (MPa)]]</f>
        <v>Null</v>
      </c>
      <c r="AA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4" s="8">
        <f>IF( AND(ISNUMBER(Tabella2[[#This Row],[Mean AXIAL stress  (MPa)]]), ISNUMBER(Tabella2[[#This Row],[Area (mm^2)]])), Tabella2[[#This Row],[Mean AXIAL stress  (MPa)]]*Tabella2[[#This Row],[Area (mm^2)]], "Null")</f>
        <v>2400</v>
      </c>
      <c r="AC34" s="8">
        <f>IF( AND(ISNUMBER(Tabella2[[#This Row],[Amplitute AXIAL stress  (MPa)]]), ISNUMBER(Tabella2[[#This Row],[Area (mm^2)]])), Tabella2[[#This Row],[Amplitute AXIAL stress  (MPa)]]*Tabella2[[#This Row],[Area (mm^2)]],"Null")</f>
        <v>2400</v>
      </c>
      <c r="AD34" s="8">
        <f>IF( AND(ISNUMBER(Tabella2[[#This Row],[Amplitude AXIAL force (N)]]), ISNUMBER(Tabella2[[#This Row],[Mean AXIAL force (N)]])), Tabella2[[#This Row],[Amplitude AXIAL force (N)]]+Tabella2[[#This Row],[Mean AXIAL force (N)]],"Null")</f>
        <v>4800</v>
      </c>
      <c r="AE3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3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5" spans="1:35" x14ac:dyDescent="0.25">
      <c r="A35" s="1" t="s">
        <v>86</v>
      </c>
      <c r="B35" s="1">
        <v>2024</v>
      </c>
      <c r="C35" s="1" t="s">
        <v>55</v>
      </c>
      <c r="D35" s="1" t="s">
        <v>93</v>
      </c>
      <c r="E35" s="8">
        <v>347221</v>
      </c>
      <c r="F35" s="1" t="s">
        <v>34</v>
      </c>
      <c r="G35" s="1" t="s">
        <v>43</v>
      </c>
      <c r="H35" s="1" t="e" vm="2">
        <v>#VALUE!</v>
      </c>
      <c r="I35" s="1" t="s">
        <v>109</v>
      </c>
      <c r="J35" s="1" t="s">
        <v>50</v>
      </c>
      <c r="K35" s="1" t="s">
        <v>35</v>
      </c>
      <c r="L35" s="8">
        <f t="shared" si="2"/>
        <v>24</v>
      </c>
      <c r="M35" s="8" t="s">
        <v>35</v>
      </c>
      <c r="N35" s="1" t="s">
        <v>35</v>
      </c>
      <c r="O35" s="1" t="s">
        <v>35</v>
      </c>
      <c r="P35" s="1" t="s">
        <v>35</v>
      </c>
      <c r="Q35" s="1">
        <v>0</v>
      </c>
      <c r="R35" s="1" t="s">
        <v>35</v>
      </c>
      <c r="S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5" s="1" t="s">
        <v>35</v>
      </c>
      <c r="U35" s="1">
        <f>IF(ISNUMBER(Tabella2[[#This Row],[Amplitute AXIAL stress  (MPa)]]), (1+Tabella2[[#This Row],[Load ratio (AXIAL)]])*Tabella2[[#This Row],[Amplitute AXIAL stress  (MPa)]]/(1-Tabella2[[#This Row],[Load ratio (AXIAL)]]), "Null")</f>
        <v>104</v>
      </c>
      <c r="V35" s="1">
        <v>104</v>
      </c>
      <c r="W3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5" s="1" t="s">
        <v>35</v>
      </c>
      <c r="Y35" s="7" t="str">
        <f>Tabella2[[#This Row],[Mean RADIAL stress  (MPa)]]</f>
        <v>Null</v>
      </c>
      <c r="Z35" s="7" t="str">
        <f>Tabella2[[#This Row],[Amplitute RADIAL stress  (MPa)]]</f>
        <v>Null</v>
      </c>
      <c r="AA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5" s="8">
        <f>IF( AND(ISNUMBER(Tabella2[[#This Row],[Mean AXIAL stress  (MPa)]]), ISNUMBER(Tabella2[[#This Row],[Area (mm^2)]])), Tabella2[[#This Row],[Mean AXIAL stress  (MPa)]]*Tabella2[[#This Row],[Area (mm^2)]], "Null")</f>
        <v>2496</v>
      </c>
      <c r="AC35" s="8">
        <f>IF( AND(ISNUMBER(Tabella2[[#This Row],[Amplitute AXIAL stress  (MPa)]]), ISNUMBER(Tabella2[[#This Row],[Area (mm^2)]])), Tabella2[[#This Row],[Amplitute AXIAL stress  (MPa)]]*Tabella2[[#This Row],[Area (mm^2)]],"Null")</f>
        <v>2496</v>
      </c>
      <c r="AD35" s="8">
        <f>IF( AND(ISNUMBER(Tabella2[[#This Row],[Amplitude AXIAL force (N)]]), ISNUMBER(Tabella2[[#This Row],[Mean AXIAL force (N)]])), Tabella2[[#This Row],[Amplitude AXIAL force (N)]]+Tabella2[[#This Row],[Mean AXIAL force (N)]],"Null")</f>
        <v>4992</v>
      </c>
      <c r="AE3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104</v>
      </c>
      <c r="AI3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6" spans="1:35" x14ac:dyDescent="0.25">
      <c r="A36" s="1" t="s">
        <v>86</v>
      </c>
      <c r="B36" s="1">
        <v>2024</v>
      </c>
      <c r="C36" s="1" t="s">
        <v>55</v>
      </c>
      <c r="D36" s="1" t="s">
        <v>94</v>
      </c>
      <c r="E36" s="8">
        <v>369481</v>
      </c>
      <c r="F36" s="1" t="s">
        <v>34</v>
      </c>
      <c r="G36" s="1" t="s">
        <v>43</v>
      </c>
      <c r="H36" s="1" t="e" vm="2">
        <v>#VALUE!</v>
      </c>
      <c r="I36" s="1" t="s">
        <v>109</v>
      </c>
      <c r="J36" s="1" t="s">
        <v>50</v>
      </c>
      <c r="K36" s="1" t="s">
        <v>35</v>
      </c>
      <c r="L36" s="8">
        <f t="shared" si="2"/>
        <v>24</v>
      </c>
      <c r="M36" s="8" t="s">
        <v>35</v>
      </c>
      <c r="N36" s="1" t="s">
        <v>35</v>
      </c>
      <c r="O36" s="1" t="s">
        <v>35</v>
      </c>
      <c r="P36" s="1" t="s">
        <v>35</v>
      </c>
      <c r="Q36" s="1">
        <v>0</v>
      </c>
      <c r="R36" s="1" t="s">
        <v>35</v>
      </c>
      <c r="S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6" s="1" t="s">
        <v>35</v>
      </c>
      <c r="U36" s="1">
        <f>IF(ISNUMBER(Tabella2[[#This Row],[Amplitute AXIAL stress  (MPa)]]), (1+Tabella2[[#This Row],[Load ratio (AXIAL)]])*Tabella2[[#This Row],[Amplitute AXIAL stress  (MPa)]]/(1-Tabella2[[#This Row],[Load ratio (AXIAL)]]), "Null")</f>
        <v>100</v>
      </c>
      <c r="V36" s="1">
        <v>100</v>
      </c>
      <c r="W3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6" s="1" t="s">
        <v>35</v>
      </c>
      <c r="Y36" s="7" t="str">
        <f>Tabella2[[#This Row],[Mean RADIAL stress  (MPa)]]</f>
        <v>Null</v>
      </c>
      <c r="Z36" s="7" t="str">
        <f>Tabella2[[#This Row],[Amplitute RADIAL stress  (MPa)]]</f>
        <v>Null</v>
      </c>
      <c r="AA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6" s="8">
        <f>IF( AND(ISNUMBER(Tabella2[[#This Row],[Mean AXIAL stress  (MPa)]]), ISNUMBER(Tabella2[[#This Row],[Area (mm^2)]])), Tabella2[[#This Row],[Mean AXIAL stress  (MPa)]]*Tabella2[[#This Row],[Area (mm^2)]], "Null")</f>
        <v>2400</v>
      </c>
      <c r="AC36" s="8">
        <f>IF( AND(ISNUMBER(Tabella2[[#This Row],[Amplitute AXIAL stress  (MPa)]]), ISNUMBER(Tabella2[[#This Row],[Area (mm^2)]])), Tabella2[[#This Row],[Amplitute AXIAL stress  (MPa)]]*Tabella2[[#This Row],[Area (mm^2)]],"Null")</f>
        <v>2400</v>
      </c>
      <c r="AD36" s="8">
        <f>IF( AND(ISNUMBER(Tabella2[[#This Row],[Amplitude AXIAL force (N)]]), ISNUMBER(Tabella2[[#This Row],[Mean AXIAL force (N)]])), Tabella2[[#This Row],[Amplitude AXIAL force (N)]]+Tabella2[[#This Row],[Mean AXIAL force (N)]],"Null")</f>
        <v>4800</v>
      </c>
      <c r="AE3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3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7" spans="1:35" x14ac:dyDescent="0.25">
      <c r="A37" s="1" t="s">
        <v>86</v>
      </c>
      <c r="B37" s="1">
        <v>2024</v>
      </c>
      <c r="C37" s="1" t="s">
        <v>55</v>
      </c>
      <c r="D37" s="1" t="s">
        <v>95</v>
      </c>
      <c r="E37" s="8">
        <v>436200</v>
      </c>
      <c r="F37" s="1" t="s">
        <v>34</v>
      </c>
      <c r="G37" s="1" t="s">
        <v>43</v>
      </c>
      <c r="H37" s="1" t="e" vm="2">
        <v>#VALUE!</v>
      </c>
      <c r="I37" s="1" t="s">
        <v>109</v>
      </c>
      <c r="J37" s="1" t="s">
        <v>50</v>
      </c>
      <c r="K37" s="1" t="s">
        <v>35</v>
      </c>
      <c r="L37" s="8">
        <f t="shared" si="2"/>
        <v>24</v>
      </c>
      <c r="M37" s="8" t="s">
        <v>35</v>
      </c>
      <c r="N37" s="1" t="s">
        <v>35</v>
      </c>
      <c r="O37" s="1" t="s">
        <v>35</v>
      </c>
      <c r="P37" s="1" t="s">
        <v>35</v>
      </c>
      <c r="Q37" s="1">
        <v>0</v>
      </c>
      <c r="R37" s="1" t="s">
        <v>35</v>
      </c>
      <c r="S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7" s="1" t="s">
        <v>35</v>
      </c>
      <c r="U37" s="1">
        <f>IF(ISNUMBER(Tabella2[[#This Row],[Amplitute AXIAL stress  (MPa)]]), (1+Tabella2[[#This Row],[Load ratio (AXIAL)]])*Tabella2[[#This Row],[Amplitute AXIAL stress  (MPa)]]/(1-Tabella2[[#This Row],[Load ratio (AXIAL)]]), "Null")</f>
        <v>95</v>
      </c>
      <c r="V37" s="1">
        <v>95</v>
      </c>
      <c r="W3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7" s="1" t="s">
        <v>35</v>
      </c>
      <c r="Y37" s="7" t="str">
        <f>Tabella2[[#This Row],[Mean RADIAL stress  (MPa)]]</f>
        <v>Null</v>
      </c>
      <c r="Z37" s="7" t="str">
        <f>Tabella2[[#This Row],[Amplitute RADIAL stress  (MPa)]]</f>
        <v>Null</v>
      </c>
      <c r="AA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7" s="8">
        <f>IF( AND(ISNUMBER(Tabella2[[#This Row],[Mean AXIAL stress  (MPa)]]), ISNUMBER(Tabella2[[#This Row],[Area (mm^2)]])), Tabella2[[#This Row],[Mean AXIAL stress  (MPa)]]*Tabella2[[#This Row],[Area (mm^2)]], "Null")</f>
        <v>2280</v>
      </c>
      <c r="AC37" s="8">
        <f>IF( AND(ISNUMBER(Tabella2[[#This Row],[Amplitute AXIAL stress  (MPa)]]), ISNUMBER(Tabella2[[#This Row],[Area (mm^2)]])), Tabella2[[#This Row],[Amplitute AXIAL stress  (MPa)]]*Tabella2[[#This Row],[Area (mm^2)]],"Null")</f>
        <v>2280</v>
      </c>
      <c r="AD37" s="8">
        <f>IF( AND(ISNUMBER(Tabella2[[#This Row],[Amplitude AXIAL force (N)]]), ISNUMBER(Tabella2[[#This Row],[Mean AXIAL force (N)]])), Tabella2[[#This Row],[Amplitude AXIAL force (N)]]+Tabella2[[#This Row],[Mean AXIAL force (N)]],"Null")</f>
        <v>4560</v>
      </c>
      <c r="AE3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  <c r="AI3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8" spans="1:35" x14ac:dyDescent="0.25">
      <c r="A38" s="1" t="s">
        <v>86</v>
      </c>
      <c r="B38" s="1">
        <v>2024</v>
      </c>
      <c r="C38" s="1" t="s">
        <v>55</v>
      </c>
      <c r="D38" s="1" t="s">
        <v>96</v>
      </c>
      <c r="E38" s="8">
        <v>515532</v>
      </c>
      <c r="F38" s="1" t="s">
        <v>34</v>
      </c>
      <c r="G38" s="1" t="s">
        <v>43</v>
      </c>
      <c r="H38" s="1" t="e" vm="2">
        <v>#VALUE!</v>
      </c>
      <c r="I38" s="1" t="s">
        <v>109</v>
      </c>
      <c r="J38" s="1" t="s">
        <v>50</v>
      </c>
      <c r="K38" s="1" t="s">
        <v>35</v>
      </c>
      <c r="L38" s="8">
        <f t="shared" si="2"/>
        <v>24</v>
      </c>
      <c r="M38" s="8" t="s">
        <v>35</v>
      </c>
      <c r="N38" s="1" t="s">
        <v>35</v>
      </c>
      <c r="O38" s="1" t="s">
        <v>35</v>
      </c>
      <c r="P38" s="1" t="s">
        <v>35</v>
      </c>
      <c r="Q38" s="1">
        <v>0</v>
      </c>
      <c r="R38" s="1" t="s">
        <v>35</v>
      </c>
      <c r="S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8" s="1" t="s">
        <v>35</v>
      </c>
      <c r="U38" s="1">
        <f>IF(ISNUMBER(Tabella2[[#This Row],[Amplitute AXIAL stress  (MPa)]]), (1+Tabella2[[#This Row],[Load ratio (AXIAL)]])*Tabella2[[#This Row],[Amplitute AXIAL stress  (MPa)]]/(1-Tabella2[[#This Row],[Load ratio (AXIAL)]]), "Null")</f>
        <v>96</v>
      </c>
      <c r="V38" s="1">
        <v>96</v>
      </c>
      <c r="W3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8" s="1" t="s">
        <v>35</v>
      </c>
      <c r="Y38" s="7" t="str">
        <f>Tabella2[[#This Row],[Mean RADIAL stress  (MPa)]]</f>
        <v>Null</v>
      </c>
      <c r="Z38" s="7" t="str">
        <f>Tabella2[[#This Row],[Amplitute RADIAL stress  (MPa)]]</f>
        <v>Null</v>
      </c>
      <c r="AA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8" s="8">
        <f>IF( AND(ISNUMBER(Tabella2[[#This Row],[Mean AXIAL stress  (MPa)]]), ISNUMBER(Tabella2[[#This Row],[Area (mm^2)]])), Tabella2[[#This Row],[Mean AXIAL stress  (MPa)]]*Tabella2[[#This Row],[Area (mm^2)]], "Null")</f>
        <v>2304</v>
      </c>
      <c r="AC38" s="8">
        <f>IF( AND(ISNUMBER(Tabella2[[#This Row],[Amplitute AXIAL stress  (MPa)]]), ISNUMBER(Tabella2[[#This Row],[Area (mm^2)]])), Tabella2[[#This Row],[Amplitute AXIAL stress  (MPa)]]*Tabella2[[#This Row],[Area (mm^2)]],"Null")</f>
        <v>2304</v>
      </c>
      <c r="AD38" s="8">
        <f>IF( AND(ISNUMBER(Tabella2[[#This Row],[Amplitude AXIAL force (N)]]), ISNUMBER(Tabella2[[#This Row],[Mean AXIAL force (N)]])), Tabella2[[#This Row],[Amplitude AXIAL force (N)]]+Tabella2[[#This Row],[Mean AXIAL force (N)]],"Null")</f>
        <v>4608</v>
      </c>
      <c r="AE3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</v>
      </c>
      <c r="AI3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9" spans="1:35" x14ac:dyDescent="0.25">
      <c r="A39" s="1" t="s">
        <v>86</v>
      </c>
      <c r="B39" s="1">
        <v>2024</v>
      </c>
      <c r="C39" s="1" t="s">
        <v>55</v>
      </c>
      <c r="D39" s="1" t="s">
        <v>97</v>
      </c>
      <c r="E39" s="8">
        <v>516299</v>
      </c>
      <c r="F39" s="1" t="s">
        <v>34</v>
      </c>
      <c r="G39" s="1" t="s">
        <v>43</v>
      </c>
      <c r="H39" s="1" t="e" vm="2">
        <v>#VALUE!</v>
      </c>
      <c r="I39" s="1" t="s">
        <v>109</v>
      </c>
      <c r="J39" s="1" t="s">
        <v>50</v>
      </c>
      <c r="K39" s="1" t="s">
        <v>35</v>
      </c>
      <c r="L39" s="8">
        <f t="shared" si="2"/>
        <v>24</v>
      </c>
      <c r="M39" s="8" t="s">
        <v>35</v>
      </c>
      <c r="N39" s="1" t="s">
        <v>35</v>
      </c>
      <c r="O39" s="1" t="s">
        <v>35</v>
      </c>
      <c r="P39" s="1" t="s">
        <v>35</v>
      </c>
      <c r="Q39" s="1">
        <v>0</v>
      </c>
      <c r="R39" s="1" t="s">
        <v>35</v>
      </c>
      <c r="S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9" s="1" t="s">
        <v>35</v>
      </c>
      <c r="U39" s="1">
        <f>IF(ISNUMBER(Tabella2[[#This Row],[Amplitute AXIAL stress  (MPa)]]), (1+Tabella2[[#This Row],[Load ratio (AXIAL)]])*Tabella2[[#This Row],[Amplitute AXIAL stress  (MPa)]]/(1-Tabella2[[#This Row],[Load ratio (AXIAL)]]), "Null")</f>
        <v>94</v>
      </c>
      <c r="V39" s="1">
        <v>94</v>
      </c>
      <c r="W3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9" s="1" t="s">
        <v>35</v>
      </c>
      <c r="Y39" s="7" t="str">
        <f>Tabella2[[#This Row],[Mean RADIAL stress  (MPa)]]</f>
        <v>Null</v>
      </c>
      <c r="Z39" s="7" t="str">
        <f>Tabella2[[#This Row],[Amplitute RADIAL stress  (MPa)]]</f>
        <v>Null</v>
      </c>
      <c r="AA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9" s="8">
        <f>IF( AND(ISNUMBER(Tabella2[[#This Row],[Mean AXIAL stress  (MPa)]]), ISNUMBER(Tabella2[[#This Row],[Area (mm^2)]])), Tabella2[[#This Row],[Mean AXIAL stress  (MPa)]]*Tabella2[[#This Row],[Area (mm^2)]], "Null")</f>
        <v>2256</v>
      </c>
      <c r="AC39" s="8">
        <f>IF( AND(ISNUMBER(Tabella2[[#This Row],[Amplitute AXIAL stress  (MPa)]]), ISNUMBER(Tabella2[[#This Row],[Area (mm^2)]])), Tabella2[[#This Row],[Amplitute AXIAL stress  (MPa)]]*Tabella2[[#This Row],[Area (mm^2)]],"Null")</f>
        <v>2256</v>
      </c>
      <c r="AD39" s="8">
        <f>IF( AND(ISNUMBER(Tabella2[[#This Row],[Amplitude AXIAL force (N)]]), ISNUMBER(Tabella2[[#This Row],[Mean AXIAL force (N)]])), Tabella2[[#This Row],[Amplitude AXIAL force (N)]]+Tabella2[[#This Row],[Mean AXIAL force (N)]],"Null")</f>
        <v>4512</v>
      </c>
      <c r="AE3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3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</v>
      </c>
      <c r="AI3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0" spans="1:35" x14ac:dyDescent="0.25">
      <c r="A40" s="1" t="s">
        <v>86</v>
      </c>
      <c r="B40" s="1">
        <v>2024</v>
      </c>
      <c r="C40" s="1" t="s">
        <v>55</v>
      </c>
      <c r="D40" s="1" t="s">
        <v>98</v>
      </c>
      <c r="E40" s="8">
        <v>603574</v>
      </c>
      <c r="F40" s="1" t="s">
        <v>34</v>
      </c>
      <c r="G40" s="1" t="s">
        <v>43</v>
      </c>
      <c r="H40" s="1" t="e" vm="2">
        <v>#VALUE!</v>
      </c>
      <c r="I40" s="1" t="s">
        <v>109</v>
      </c>
      <c r="J40" s="1" t="s">
        <v>50</v>
      </c>
      <c r="K40" s="1" t="s">
        <v>35</v>
      </c>
      <c r="L40" s="8">
        <f t="shared" si="2"/>
        <v>24</v>
      </c>
      <c r="M40" s="8" t="s">
        <v>35</v>
      </c>
      <c r="N40" s="1" t="s">
        <v>35</v>
      </c>
      <c r="O40" s="1" t="s">
        <v>35</v>
      </c>
      <c r="P40" s="1" t="s">
        <v>35</v>
      </c>
      <c r="Q40" s="1">
        <v>0</v>
      </c>
      <c r="R40" s="1" t="s">
        <v>35</v>
      </c>
      <c r="S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0" s="1" t="s">
        <v>35</v>
      </c>
      <c r="U40" s="1">
        <f>IF(ISNUMBER(Tabella2[[#This Row],[Amplitute AXIAL stress  (MPa)]]), (1+Tabella2[[#This Row],[Load ratio (AXIAL)]])*Tabella2[[#This Row],[Amplitute AXIAL stress  (MPa)]]/(1-Tabella2[[#This Row],[Load ratio (AXIAL)]]), "Null")</f>
        <v>90</v>
      </c>
      <c r="V40" s="1">
        <v>90</v>
      </c>
      <c r="W4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0" s="1" t="s">
        <v>35</v>
      </c>
      <c r="Y40" s="7" t="str">
        <f>Tabella2[[#This Row],[Mean RADIAL stress  (MPa)]]</f>
        <v>Null</v>
      </c>
      <c r="Z40" s="7" t="str">
        <f>Tabella2[[#This Row],[Amplitute RADIAL stress  (MPa)]]</f>
        <v>Null</v>
      </c>
      <c r="AA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0" s="8">
        <f>IF( AND(ISNUMBER(Tabella2[[#This Row],[Mean AXIAL stress  (MPa)]]), ISNUMBER(Tabella2[[#This Row],[Area (mm^2)]])), Tabella2[[#This Row],[Mean AXIAL stress  (MPa)]]*Tabella2[[#This Row],[Area (mm^2)]], "Null")</f>
        <v>2160</v>
      </c>
      <c r="AC40" s="8">
        <f>IF( AND(ISNUMBER(Tabella2[[#This Row],[Amplitute AXIAL stress  (MPa)]]), ISNUMBER(Tabella2[[#This Row],[Area (mm^2)]])), Tabella2[[#This Row],[Amplitute AXIAL stress  (MPa)]]*Tabella2[[#This Row],[Area (mm^2)]],"Null")</f>
        <v>2160</v>
      </c>
      <c r="AD40" s="8">
        <f>IF( AND(ISNUMBER(Tabella2[[#This Row],[Amplitude AXIAL force (N)]]), ISNUMBER(Tabella2[[#This Row],[Mean AXIAL force (N)]])), Tabella2[[#This Row],[Amplitude AXIAL force (N)]]+Tabella2[[#This Row],[Mean AXIAL force (N)]],"Null")</f>
        <v>4320</v>
      </c>
      <c r="AE4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  <c r="AI4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1" spans="1:35" x14ac:dyDescent="0.25">
      <c r="A41" s="1" t="s">
        <v>86</v>
      </c>
      <c r="B41" s="1">
        <v>2024</v>
      </c>
      <c r="C41" s="1" t="s">
        <v>55</v>
      </c>
      <c r="D41" s="1" t="s">
        <v>99</v>
      </c>
      <c r="E41" s="8">
        <v>754651</v>
      </c>
      <c r="F41" s="1" t="s">
        <v>34</v>
      </c>
      <c r="G41" s="1" t="s">
        <v>43</v>
      </c>
      <c r="H41" s="1" t="e" vm="2">
        <v>#VALUE!</v>
      </c>
      <c r="I41" s="1" t="s">
        <v>109</v>
      </c>
      <c r="J41" s="1" t="s">
        <v>50</v>
      </c>
      <c r="K41" s="1" t="s">
        <v>35</v>
      </c>
      <c r="L41" s="8">
        <f t="shared" si="2"/>
        <v>24</v>
      </c>
      <c r="M41" s="8" t="s">
        <v>35</v>
      </c>
      <c r="N41" s="1" t="s">
        <v>35</v>
      </c>
      <c r="O41" s="1" t="s">
        <v>35</v>
      </c>
      <c r="P41" s="1" t="s">
        <v>35</v>
      </c>
      <c r="Q41" s="1">
        <v>0</v>
      </c>
      <c r="R41" s="1" t="s">
        <v>35</v>
      </c>
      <c r="S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1" s="1" t="s">
        <v>35</v>
      </c>
      <c r="U41" s="1">
        <f>IF(ISNUMBER(Tabella2[[#This Row],[Amplitute AXIAL stress  (MPa)]]), (1+Tabella2[[#This Row],[Load ratio (AXIAL)]])*Tabella2[[#This Row],[Amplitute AXIAL stress  (MPa)]]/(1-Tabella2[[#This Row],[Load ratio (AXIAL)]]), "Null")</f>
        <v>100</v>
      </c>
      <c r="V41" s="1">
        <v>100</v>
      </c>
      <c r="W4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1" s="1" t="s">
        <v>35</v>
      </c>
      <c r="Y41" s="7" t="str">
        <f>Tabella2[[#This Row],[Mean RADIAL stress  (MPa)]]</f>
        <v>Null</v>
      </c>
      <c r="Z41" s="7" t="str">
        <f>Tabella2[[#This Row],[Amplitute RADIAL stress  (MPa)]]</f>
        <v>Null</v>
      </c>
      <c r="AA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1" s="8">
        <f>IF( AND(ISNUMBER(Tabella2[[#This Row],[Mean AXIAL stress  (MPa)]]), ISNUMBER(Tabella2[[#This Row],[Area (mm^2)]])), Tabella2[[#This Row],[Mean AXIAL stress  (MPa)]]*Tabella2[[#This Row],[Area (mm^2)]], "Null")</f>
        <v>2400</v>
      </c>
      <c r="AC41" s="8">
        <f>IF( AND(ISNUMBER(Tabella2[[#This Row],[Amplitute AXIAL stress  (MPa)]]), ISNUMBER(Tabella2[[#This Row],[Area (mm^2)]])), Tabella2[[#This Row],[Amplitute AXIAL stress  (MPa)]]*Tabella2[[#This Row],[Area (mm^2)]],"Null")</f>
        <v>2400</v>
      </c>
      <c r="AD41" s="8">
        <f>IF( AND(ISNUMBER(Tabella2[[#This Row],[Amplitude AXIAL force (N)]]), ISNUMBER(Tabella2[[#This Row],[Mean AXIAL force (N)]])), Tabella2[[#This Row],[Amplitude AXIAL force (N)]]+Tabella2[[#This Row],[Mean AXIAL force (N)]],"Null")</f>
        <v>4800</v>
      </c>
      <c r="AE4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4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2" spans="1:35" x14ac:dyDescent="0.25">
      <c r="A42" s="1" t="s">
        <v>86</v>
      </c>
      <c r="B42" s="1">
        <v>2024</v>
      </c>
      <c r="C42" s="1" t="s">
        <v>55</v>
      </c>
      <c r="D42" s="1" t="s">
        <v>100</v>
      </c>
      <c r="E42" s="8">
        <v>1031849</v>
      </c>
      <c r="F42" s="1" t="s">
        <v>34</v>
      </c>
      <c r="G42" s="1" t="s">
        <v>43</v>
      </c>
      <c r="H42" s="1" t="e" vm="2">
        <v>#VALUE!</v>
      </c>
      <c r="I42" s="1" t="s">
        <v>109</v>
      </c>
      <c r="J42" s="1" t="s">
        <v>50</v>
      </c>
      <c r="K42" s="1" t="s">
        <v>35</v>
      </c>
      <c r="L42" s="8">
        <f t="shared" si="2"/>
        <v>24</v>
      </c>
      <c r="M42" s="8" t="s">
        <v>35</v>
      </c>
      <c r="N42" s="1" t="s">
        <v>35</v>
      </c>
      <c r="O42" s="1" t="s">
        <v>35</v>
      </c>
      <c r="P42" s="1" t="s">
        <v>35</v>
      </c>
      <c r="Q42" s="1">
        <v>0</v>
      </c>
      <c r="R42" s="1" t="s">
        <v>35</v>
      </c>
      <c r="S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2" s="1" t="s">
        <v>35</v>
      </c>
      <c r="U42" s="1">
        <f>IF(ISNUMBER(Tabella2[[#This Row],[Amplitute AXIAL stress  (MPa)]]), (1+Tabella2[[#This Row],[Load ratio (AXIAL)]])*Tabella2[[#This Row],[Amplitute AXIAL stress  (MPa)]]/(1-Tabella2[[#This Row],[Load ratio (AXIAL)]]), "Null")</f>
        <v>103</v>
      </c>
      <c r="V42" s="1">
        <v>103</v>
      </c>
      <c r="W4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2" s="1" t="s">
        <v>35</v>
      </c>
      <c r="Y42" s="7" t="str">
        <f>Tabella2[[#This Row],[Mean RADIAL stress  (MPa)]]</f>
        <v>Null</v>
      </c>
      <c r="Z42" s="7" t="str">
        <f>Tabella2[[#This Row],[Amplitute RADIAL stress  (MPa)]]</f>
        <v>Null</v>
      </c>
      <c r="AA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2" s="8">
        <f>IF( AND(ISNUMBER(Tabella2[[#This Row],[Mean AXIAL stress  (MPa)]]), ISNUMBER(Tabella2[[#This Row],[Area (mm^2)]])), Tabella2[[#This Row],[Mean AXIAL stress  (MPa)]]*Tabella2[[#This Row],[Area (mm^2)]], "Null")</f>
        <v>2472</v>
      </c>
      <c r="AC42" s="8">
        <f>IF( AND(ISNUMBER(Tabella2[[#This Row],[Amplitute AXIAL stress  (MPa)]]), ISNUMBER(Tabella2[[#This Row],[Area (mm^2)]])), Tabella2[[#This Row],[Amplitute AXIAL stress  (MPa)]]*Tabella2[[#This Row],[Area (mm^2)]],"Null")</f>
        <v>2472</v>
      </c>
      <c r="AD42" s="8">
        <f>IF( AND(ISNUMBER(Tabella2[[#This Row],[Amplitude AXIAL force (N)]]), ISNUMBER(Tabella2[[#This Row],[Mean AXIAL force (N)]])), Tabella2[[#This Row],[Amplitude AXIAL force (N)]]+Tabella2[[#This Row],[Mean AXIAL force (N)]],"Null")</f>
        <v>4944</v>
      </c>
      <c r="AE4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</v>
      </c>
      <c r="AI4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3" spans="1:35" x14ac:dyDescent="0.25">
      <c r="A43" s="1" t="s">
        <v>86</v>
      </c>
      <c r="B43" s="1">
        <v>2024</v>
      </c>
      <c r="C43" s="1" t="s">
        <v>55</v>
      </c>
      <c r="D43" s="1" t="s">
        <v>101</v>
      </c>
      <c r="E43" s="8">
        <v>2063734</v>
      </c>
      <c r="F43" s="1" t="s">
        <v>50</v>
      </c>
      <c r="G43" s="1" t="s">
        <v>43</v>
      </c>
      <c r="H43" s="1" t="e" vm="2">
        <v>#VALUE!</v>
      </c>
      <c r="I43" s="1" t="s">
        <v>109</v>
      </c>
      <c r="J43" s="1" t="s">
        <v>50</v>
      </c>
      <c r="K43" s="1" t="s">
        <v>35</v>
      </c>
      <c r="L43" s="8">
        <f t="shared" si="2"/>
        <v>24</v>
      </c>
      <c r="M43" s="8" t="s">
        <v>35</v>
      </c>
      <c r="N43" s="1" t="s">
        <v>35</v>
      </c>
      <c r="O43" s="1" t="s">
        <v>35</v>
      </c>
      <c r="P43" s="1" t="s">
        <v>35</v>
      </c>
      <c r="Q43" s="1">
        <v>0</v>
      </c>
      <c r="R43" s="1" t="s">
        <v>35</v>
      </c>
      <c r="S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3" s="1" t="s">
        <v>35</v>
      </c>
      <c r="U43" s="1">
        <f>IF(ISNUMBER(Tabella2[[#This Row],[Amplitute AXIAL stress  (MPa)]]), (1+Tabella2[[#This Row],[Load ratio (AXIAL)]])*Tabella2[[#This Row],[Amplitute AXIAL stress  (MPa)]]/(1-Tabella2[[#This Row],[Load ratio (AXIAL)]]), "Null")</f>
        <v>91.5</v>
      </c>
      <c r="V43" s="1">
        <v>91.5</v>
      </c>
      <c r="W4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3" s="1" t="s">
        <v>35</v>
      </c>
      <c r="Y43" s="7" t="str">
        <f>Tabella2[[#This Row],[Mean RADIAL stress  (MPa)]]</f>
        <v>Null</v>
      </c>
      <c r="Z43" s="7" t="str">
        <f>Tabella2[[#This Row],[Amplitute RADIAL stress  (MPa)]]</f>
        <v>Null</v>
      </c>
      <c r="AA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3" s="8">
        <f>IF( AND(ISNUMBER(Tabella2[[#This Row],[Mean AXIAL stress  (MPa)]]), ISNUMBER(Tabella2[[#This Row],[Area (mm^2)]])), Tabella2[[#This Row],[Mean AXIAL stress  (MPa)]]*Tabella2[[#This Row],[Area (mm^2)]], "Null")</f>
        <v>2196</v>
      </c>
      <c r="AC43" s="8">
        <f>IF( AND(ISNUMBER(Tabella2[[#This Row],[Amplitute AXIAL stress  (MPa)]]), ISNUMBER(Tabella2[[#This Row],[Area (mm^2)]])), Tabella2[[#This Row],[Amplitute AXIAL stress  (MPa)]]*Tabella2[[#This Row],[Area (mm^2)]],"Null")</f>
        <v>2196</v>
      </c>
      <c r="AD43" s="8">
        <f>IF( AND(ISNUMBER(Tabella2[[#This Row],[Amplitude AXIAL force (N)]]), ISNUMBER(Tabella2[[#This Row],[Mean AXIAL force (N)]])), Tabella2[[#This Row],[Amplitude AXIAL force (N)]]+Tabella2[[#This Row],[Mean AXIAL force (N)]],"Null")</f>
        <v>4392</v>
      </c>
      <c r="AE4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91.5</v>
      </c>
      <c r="AI4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4" spans="1:35" ht="15" customHeight="1" x14ac:dyDescent="0.25">
      <c r="A44" s="1" t="s">
        <v>86</v>
      </c>
      <c r="B44" s="1">
        <v>2024</v>
      </c>
      <c r="C44" s="1" t="s">
        <v>55</v>
      </c>
      <c r="D44" s="1" t="s">
        <v>102</v>
      </c>
      <c r="E44" s="8">
        <v>2591273</v>
      </c>
      <c r="F44" s="1" t="s">
        <v>50</v>
      </c>
      <c r="G44" s="1" t="s">
        <v>43</v>
      </c>
      <c r="H44" s="1" t="e" vm="2">
        <v>#VALUE!</v>
      </c>
      <c r="I44" s="1" t="s">
        <v>109</v>
      </c>
      <c r="J44" s="1" t="s">
        <v>50</v>
      </c>
      <c r="K44" s="1" t="s">
        <v>35</v>
      </c>
      <c r="L44" s="8">
        <f t="shared" si="2"/>
        <v>24</v>
      </c>
      <c r="M44" s="8" t="s">
        <v>35</v>
      </c>
      <c r="N44" s="1" t="s">
        <v>35</v>
      </c>
      <c r="O44" s="1" t="s">
        <v>35</v>
      </c>
      <c r="P44" s="1" t="s">
        <v>35</v>
      </c>
      <c r="Q44" s="1">
        <v>0</v>
      </c>
      <c r="R44" s="1" t="s">
        <v>35</v>
      </c>
      <c r="S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4" s="1" t="s">
        <v>35</v>
      </c>
      <c r="U44" s="1">
        <f>IF(ISNUMBER(Tabella2[[#This Row],[Amplitute AXIAL stress  (MPa)]]), (1+Tabella2[[#This Row],[Load ratio (AXIAL)]])*Tabella2[[#This Row],[Amplitute AXIAL stress  (MPa)]]/(1-Tabella2[[#This Row],[Load ratio (AXIAL)]]), "Null")</f>
        <v>91.5</v>
      </c>
      <c r="V44" s="1">
        <v>91.5</v>
      </c>
      <c r="W4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4" s="1" t="s">
        <v>35</v>
      </c>
      <c r="Y44" s="7" t="str">
        <f>Tabella2[[#This Row],[Mean RADIAL stress  (MPa)]]</f>
        <v>Null</v>
      </c>
      <c r="Z44" s="7" t="str">
        <f>Tabella2[[#This Row],[Amplitute RADIAL stress  (MPa)]]</f>
        <v>Null</v>
      </c>
      <c r="AA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4" s="8">
        <f>IF( AND(ISNUMBER(Tabella2[[#This Row],[Mean AXIAL stress  (MPa)]]), ISNUMBER(Tabella2[[#This Row],[Area (mm^2)]])), Tabella2[[#This Row],[Mean AXIAL stress  (MPa)]]*Tabella2[[#This Row],[Area (mm^2)]], "Null")</f>
        <v>2196</v>
      </c>
      <c r="AC44" s="8">
        <f>IF( AND(ISNUMBER(Tabella2[[#This Row],[Amplitute AXIAL stress  (MPa)]]), ISNUMBER(Tabella2[[#This Row],[Area (mm^2)]])), Tabella2[[#This Row],[Amplitute AXIAL stress  (MPa)]]*Tabella2[[#This Row],[Area (mm^2)]],"Null")</f>
        <v>2196</v>
      </c>
      <c r="AD44" s="8">
        <f>IF( AND(ISNUMBER(Tabella2[[#This Row],[Amplitude AXIAL force (N)]]), ISNUMBER(Tabella2[[#This Row],[Mean AXIAL force (N)]])), Tabella2[[#This Row],[Amplitude AXIAL force (N)]]+Tabella2[[#This Row],[Mean AXIAL force (N)]],"Null")</f>
        <v>4392</v>
      </c>
      <c r="AE4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91.5</v>
      </c>
      <c r="AI4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5" spans="1:35" x14ac:dyDescent="0.25">
      <c r="A45" s="1" t="s">
        <v>86</v>
      </c>
      <c r="B45" s="1">
        <v>2024</v>
      </c>
      <c r="C45" s="1" t="s">
        <v>55</v>
      </c>
      <c r="D45" s="1" t="s">
        <v>103</v>
      </c>
      <c r="E45" s="8">
        <v>2673283</v>
      </c>
      <c r="F45" s="1" t="s">
        <v>50</v>
      </c>
      <c r="G45" s="1" t="s">
        <v>43</v>
      </c>
      <c r="H45" s="1" t="e" vm="2">
        <v>#VALUE!</v>
      </c>
      <c r="I45" s="1" t="s">
        <v>109</v>
      </c>
      <c r="J45" s="1" t="s">
        <v>50</v>
      </c>
      <c r="K45" s="1" t="s">
        <v>35</v>
      </c>
      <c r="L45" s="8">
        <f t="shared" si="2"/>
        <v>24</v>
      </c>
      <c r="M45" s="8" t="s">
        <v>35</v>
      </c>
      <c r="N45" s="1" t="s">
        <v>35</v>
      </c>
      <c r="O45" s="1" t="s">
        <v>35</v>
      </c>
      <c r="P45" s="1" t="s">
        <v>35</v>
      </c>
      <c r="Q45" s="1">
        <v>0</v>
      </c>
      <c r="R45" s="1" t="s">
        <v>35</v>
      </c>
      <c r="S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5" s="1" t="s">
        <v>35</v>
      </c>
      <c r="U45" s="1">
        <f>IF(ISNUMBER(Tabella2[[#This Row],[Amplitute AXIAL stress  (MPa)]]), (1+Tabella2[[#This Row],[Load ratio (AXIAL)]])*Tabella2[[#This Row],[Amplitute AXIAL stress  (MPa)]]/(1-Tabella2[[#This Row],[Load ratio (AXIAL)]]), "Null")</f>
        <v>95</v>
      </c>
      <c r="V45" s="1">
        <v>95</v>
      </c>
      <c r="W4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5" s="1" t="s">
        <v>35</v>
      </c>
      <c r="Y45" s="7" t="str">
        <f>Tabella2[[#This Row],[Mean RADIAL stress  (MPa)]]</f>
        <v>Null</v>
      </c>
      <c r="Z45" s="7" t="str">
        <f>Tabella2[[#This Row],[Amplitute RADIAL stress  (MPa)]]</f>
        <v>Null</v>
      </c>
      <c r="AA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5" s="8">
        <f>IF( AND(ISNUMBER(Tabella2[[#This Row],[Mean AXIAL stress  (MPa)]]), ISNUMBER(Tabella2[[#This Row],[Area (mm^2)]])), Tabella2[[#This Row],[Mean AXIAL stress  (MPa)]]*Tabella2[[#This Row],[Area (mm^2)]], "Null")</f>
        <v>2280</v>
      </c>
      <c r="AC45" s="8">
        <f>IF( AND(ISNUMBER(Tabella2[[#This Row],[Amplitute AXIAL stress  (MPa)]]), ISNUMBER(Tabella2[[#This Row],[Area (mm^2)]])), Tabella2[[#This Row],[Amplitute AXIAL stress  (MPa)]]*Tabella2[[#This Row],[Area (mm^2)]],"Null")</f>
        <v>2280</v>
      </c>
      <c r="AD45" s="8">
        <f>IF( AND(ISNUMBER(Tabella2[[#This Row],[Amplitude AXIAL force (N)]]), ISNUMBER(Tabella2[[#This Row],[Mean AXIAL force (N)]])), Tabella2[[#This Row],[Amplitude AXIAL force (N)]]+Tabella2[[#This Row],[Mean AXIAL force (N)]],"Null")</f>
        <v>4560</v>
      </c>
      <c r="AE4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  <c r="AI4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6" spans="1:35" x14ac:dyDescent="0.25">
      <c r="A46" s="1" t="s">
        <v>86</v>
      </c>
      <c r="B46" s="1">
        <v>2024</v>
      </c>
      <c r="C46" s="1" t="s">
        <v>55</v>
      </c>
      <c r="D46" s="1" t="s">
        <v>104</v>
      </c>
      <c r="E46" s="8">
        <v>2700129</v>
      </c>
      <c r="F46" s="1" t="s">
        <v>50</v>
      </c>
      <c r="G46" s="1" t="s">
        <v>43</v>
      </c>
      <c r="H46" s="1" t="e" vm="2">
        <v>#VALUE!</v>
      </c>
      <c r="I46" s="1" t="s">
        <v>109</v>
      </c>
      <c r="J46" s="1" t="s">
        <v>50</v>
      </c>
      <c r="K46" s="1" t="s">
        <v>35</v>
      </c>
      <c r="L46" s="8">
        <f t="shared" si="2"/>
        <v>24</v>
      </c>
      <c r="M46" s="8" t="s">
        <v>35</v>
      </c>
      <c r="N46" s="1" t="s">
        <v>35</v>
      </c>
      <c r="O46" s="1" t="s">
        <v>35</v>
      </c>
      <c r="P46" s="1" t="s">
        <v>35</v>
      </c>
      <c r="Q46" s="1">
        <v>0</v>
      </c>
      <c r="R46" s="1" t="s">
        <v>35</v>
      </c>
      <c r="S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6" s="1" t="s">
        <v>35</v>
      </c>
      <c r="U46" s="1">
        <f>IF(ISNUMBER(Tabella2[[#This Row],[Amplitute AXIAL stress  (MPa)]]), (1+Tabella2[[#This Row],[Load ratio (AXIAL)]])*Tabella2[[#This Row],[Amplitute AXIAL stress  (MPa)]]/(1-Tabella2[[#This Row],[Load ratio (AXIAL)]]), "Null")</f>
        <v>85</v>
      </c>
      <c r="V46" s="1">
        <v>85</v>
      </c>
      <c r="W4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6" s="1" t="s">
        <v>35</v>
      </c>
      <c r="Y46" s="7" t="str">
        <f>Tabella2[[#This Row],[Mean RADIAL stress  (MPa)]]</f>
        <v>Null</v>
      </c>
      <c r="Z46" s="7" t="str">
        <f>Tabella2[[#This Row],[Amplitute RADIAL stress  (MPa)]]</f>
        <v>Null</v>
      </c>
      <c r="AA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6" s="8">
        <f>IF( AND(ISNUMBER(Tabella2[[#This Row],[Mean AXIAL stress  (MPa)]]), ISNUMBER(Tabella2[[#This Row],[Area (mm^2)]])), Tabella2[[#This Row],[Mean AXIAL stress  (MPa)]]*Tabella2[[#This Row],[Area (mm^2)]], "Null")</f>
        <v>2040</v>
      </c>
      <c r="AC46" s="8">
        <f>IF( AND(ISNUMBER(Tabella2[[#This Row],[Amplitute AXIAL stress  (MPa)]]), ISNUMBER(Tabella2[[#This Row],[Area (mm^2)]])), Tabella2[[#This Row],[Amplitute AXIAL stress  (MPa)]]*Tabella2[[#This Row],[Area (mm^2)]],"Null")</f>
        <v>2040</v>
      </c>
      <c r="AD46" s="8">
        <f>IF( AND(ISNUMBER(Tabella2[[#This Row],[Amplitude AXIAL force (N)]]), ISNUMBER(Tabella2[[#This Row],[Mean AXIAL force (N)]])), Tabella2[[#This Row],[Amplitude AXIAL force (N)]]+Tabella2[[#This Row],[Mean AXIAL force (N)]],"Null")</f>
        <v>4080</v>
      </c>
      <c r="AE4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</v>
      </c>
      <c r="AI4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7" spans="1:35" x14ac:dyDescent="0.25">
      <c r="A47" s="1" t="s">
        <v>86</v>
      </c>
      <c r="B47" s="1">
        <v>2024</v>
      </c>
      <c r="C47" s="1" t="s">
        <v>55</v>
      </c>
      <c r="D47" s="1" t="s">
        <v>105</v>
      </c>
      <c r="E47" s="8">
        <v>2770129</v>
      </c>
      <c r="F47" s="1" t="s">
        <v>50</v>
      </c>
      <c r="G47" s="1" t="s">
        <v>43</v>
      </c>
      <c r="H47" s="1" t="e" vm="2">
        <v>#VALUE!</v>
      </c>
      <c r="I47" s="1" t="s">
        <v>109</v>
      </c>
      <c r="J47" s="1" t="s">
        <v>50</v>
      </c>
      <c r="K47" s="1" t="s">
        <v>35</v>
      </c>
      <c r="L47" s="8">
        <f t="shared" si="2"/>
        <v>24</v>
      </c>
      <c r="M47" s="8" t="s">
        <v>35</v>
      </c>
      <c r="N47" s="1" t="s">
        <v>35</v>
      </c>
      <c r="O47" s="1" t="s">
        <v>35</v>
      </c>
      <c r="P47" s="1" t="s">
        <v>35</v>
      </c>
      <c r="Q47" s="1">
        <v>0</v>
      </c>
      <c r="R47" s="1" t="s">
        <v>35</v>
      </c>
      <c r="S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7" s="1" t="s">
        <v>35</v>
      </c>
      <c r="U47" s="1">
        <f>IF(ISNUMBER(Tabella2[[#This Row],[Amplitute AXIAL stress  (MPa)]]), (1+Tabella2[[#This Row],[Load ratio (AXIAL)]])*Tabella2[[#This Row],[Amplitute AXIAL stress  (MPa)]]/(1-Tabella2[[#This Row],[Load ratio (AXIAL)]]), "Null")</f>
        <v>90</v>
      </c>
      <c r="V47" s="1">
        <v>90</v>
      </c>
      <c r="W4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7" s="1" t="s">
        <v>35</v>
      </c>
      <c r="Y47" s="7" t="str">
        <f>Tabella2[[#This Row],[Mean RADIAL stress  (MPa)]]</f>
        <v>Null</v>
      </c>
      <c r="Z47" s="7" t="str">
        <f>Tabella2[[#This Row],[Amplitute RADIAL stress  (MPa)]]</f>
        <v>Null</v>
      </c>
      <c r="AA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7" s="8">
        <f>IF( AND(ISNUMBER(Tabella2[[#This Row],[Mean AXIAL stress  (MPa)]]), ISNUMBER(Tabella2[[#This Row],[Area (mm^2)]])), Tabella2[[#This Row],[Mean AXIAL stress  (MPa)]]*Tabella2[[#This Row],[Area (mm^2)]], "Null")</f>
        <v>2160</v>
      </c>
      <c r="AC47" s="8">
        <f>IF( AND(ISNUMBER(Tabella2[[#This Row],[Amplitute AXIAL stress  (MPa)]]), ISNUMBER(Tabella2[[#This Row],[Area (mm^2)]])), Tabella2[[#This Row],[Amplitute AXIAL stress  (MPa)]]*Tabella2[[#This Row],[Area (mm^2)]],"Null")</f>
        <v>2160</v>
      </c>
      <c r="AD47" s="8">
        <f>IF( AND(ISNUMBER(Tabella2[[#This Row],[Amplitude AXIAL force (N)]]), ISNUMBER(Tabella2[[#This Row],[Mean AXIAL force (N)]])), Tabella2[[#This Row],[Amplitude AXIAL force (N)]]+Tabella2[[#This Row],[Mean AXIAL force (N)]],"Null")</f>
        <v>4320</v>
      </c>
      <c r="AE4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  <c r="AI4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8" spans="1:35" x14ac:dyDescent="0.25">
      <c r="A48" s="1" t="s">
        <v>86</v>
      </c>
      <c r="B48" s="1">
        <v>2024</v>
      </c>
      <c r="C48" s="1" t="s">
        <v>55</v>
      </c>
      <c r="D48" s="1" t="s">
        <v>106</v>
      </c>
      <c r="E48" s="8">
        <v>10000000</v>
      </c>
      <c r="F48" s="1" t="s">
        <v>50</v>
      </c>
      <c r="G48" s="1" t="s">
        <v>43</v>
      </c>
      <c r="H48" s="1" t="e" vm="2">
        <v>#VALUE!</v>
      </c>
      <c r="I48" s="1" t="s">
        <v>109</v>
      </c>
      <c r="J48" s="1" t="s">
        <v>50</v>
      </c>
      <c r="K48" s="1" t="s">
        <v>35</v>
      </c>
      <c r="L48" s="8">
        <f t="shared" si="2"/>
        <v>24</v>
      </c>
      <c r="M48" s="8" t="s">
        <v>35</v>
      </c>
      <c r="N48" s="1" t="s">
        <v>35</v>
      </c>
      <c r="O48" s="1" t="s">
        <v>35</v>
      </c>
      <c r="P48" s="1" t="s">
        <v>35</v>
      </c>
      <c r="Q48" s="1">
        <v>0</v>
      </c>
      <c r="R48" s="1" t="s">
        <v>35</v>
      </c>
      <c r="S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8" s="1" t="s">
        <v>35</v>
      </c>
      <c r="U48" s="1">
        <f>IF(ISNUMBER(Tabella2[[#This Row],[Amplitute AXIAL stress  (MPa)]]), (1+Tabella2[[#This Row],[Load ratio (AXIAL)]])*Tabella2[[#This Row],[Amplitute AXIAL stress  (MPa)]]/(1-Tabella2[[#This Row],[Load ratio (AXIAL)]]), "Null")</f>
        <v>96</v>
      </c>
      <c r="V48" s="1">
        <v>96</v>
      </c>
      <c r="W4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8" s="1" t="s">
        <v>35</v>
      </c>
      <c r="Y48" s="7" t="str">
        <f>Tabella2[[#This Row],[Mean RADIAL stress  (MPa)]]</f>
        <v>Null</v>
      </c>
      <c r="Z48" s="7" t="str">
        <f>Tabella2[[#This Row],[Amplitute RADIAL stress  (MPa)]]</f>
        <v>Null</v>
      </c>
      <c r="AA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8" s="8">
        <f>IF( AND(ISNUMBER(Tabella2[[#This Row],[Mean AXIAL stress  (MPa)]]), ISNUMBER(Tabella2[[#This Row],[Area (mm^2)]])), Tabella2[[#This Row],[Mean AXIAL stress  (MPa)]]*Tabella2[[#This Row],[Area (mm^2)]], "Null")</f>
        <v>2304</v>
      </c>
      <c r="AC48" s="8">
        <f>IF( AND(ISNUMBER(Tabella2[[#This Row],[Amplitute AXIAL stress  (MPa)]]), ISNUMBER(Tabella2[[#This Row],[Area (mm^2)]])), Tabella2[[#This Row],[Amplitute AXIAL stress  (MPa)]]*Tabella2[[#This Row],[Area (mm^2)]],"Null")</f>
        <v>2304</v>
      </c>
      <c r="AD48" s="8">
        <f>IF( AND(ISNUMBER(Tabella2[[#This Row],[Amplitude AXIAL force (N)]]), ISNUMBER(Tabella2[[#This Row],[Mean AXIAL force (N)]])), Tabella2[[#This Row],[Amplitude AXIAL force (N)]]+Tabella2[[#This Row],[Mean AXIAL force (N)]],"Null")</f>
        <v>4608</v>
      </c>
      <c r="AE4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</v>
      </c>
      <c r="AI4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9" spans="1:35" x14ac:dyDescent="0.25">
      <c r="A49" s="1" t="s">
        <v>86</v>
      </c>
      <c r="B49" s="1">
        <v>2024</v>
      </c>
      <c r="C49" s="1" t="s">
        <v>55</v>
      </c>
      <c r="D49" s="1" t="s">
        <v>107</v>
      </c>
      <c r="E49" s="8">
        <v>10000000</v>
      </c>
      <c r="F49" s="1" t="s">
        <v>50</v>
      </c>
      <c r="G49" s="1" t="s">
        <v>43</v>
      </c>
      <c r="H49" s="1" t="e" vm="2">
        <v>#VALUE!</v>
      </c>
      <c r="I49" s="1" t="s">
        <v>109</v>
      </c>
      <c r="J49" s="1" t="s">
        <v>50</v>
      </c>
      <c r="K49" s="1" t="s">
        <v>35</v>
      </c>
      <c r="L49" s="8">
        <f t="shared" si="2"/>
        <v>24</v>
      </c>
      <c r="M49" s="8" t="s">
        <v>35</v>
      </c>
      <c r="N49" s="1" t="s">
        <v>35</v>
      </c>
      <c r="O49" s="1" t="s">
        <v>35</v>
      </c>
      <c r="P49" s="1" t="s">
        <v>35</v>
      </c>
      <c r="Q49" s="1">
        <v>0</v>
      </c>
      <c r="R49" s="1" t="s">
        <v>35</v>
      </c>
      <c r="S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9" s="1" t="s">
        <v>35</v>
      </c>
      <c r="U49" s="1">
        <f>IF(ISNUMBER(Tabella2[[#This Row],[Amplitute AXIAL stress  (MPa)]]), (1+Tabella2[[#This Row],[Load ratio (AXIAL)]])*Tabella2[[#This Row],[Amplitute AXIAL stress  (MPa)]]/(1-Tabella2[[#This Row],[Load ratio (AXIAL)]]), "Null")</f>
        <v>95</v>
      </c>
      <c r="V49" s="1">
        <v>95</v>
      </c>
      <c r="W4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9" s="1" t="s">
        <v>35</v>
      </c>
      <c r="Y49" s="7" t="str">
        <f>Tabella2[[#This Row],[Mean RADIAL stress  (MPa)]]</f>
        <v>Null</v>
      </c>
      <c r="Z49" s="7" t="str">
        <f>Tabella2[[#This Row],[Amplitute RADIAL stress  (MPa)]]</f>
        <v>Null</v>
      </c>
      <c r="AA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9" s="8">
        <f>IF( AND(ISNUMBER(Tabella2[[#This Row],[Mean AXIAL stress  (MPa)]]), ISNUMBER(Tabella2[[#This Row],[Area (mm^2)]])), Tabella2[[#This Row],[Mean AXIAL stress  (MPa)]]*Tabella2[[#This Row],[Area (mm^2)]], "Null")</f>
        <v>2280</v>
      </c>
      <c r="AC49" s="8">
        <f>IF( AND(ISNUMBER(Tabella2[[#This Row],[Amplitute AXIAL stress  (MPa)]]), ISNUMBER(Tabella2[[#This Row],[Area (mm^2)]])), Tabella2[[#This Row],[Amplitute AXIAL stress  (MPa)]]*Tabella2[[#This Row],[Area (mm^2)]],"Null")</f>
        <v>2280</v>
      </c>
      <c r="AD49" s="8">
        <f>IF( AND(ISNUMBER(Tabella2[[#This Row],[Amplitude AXIAL force (N)]]), ISNUMBER(Tabella2[[#This Row],[Mean AXIAL force (N)]])), Tabella2[[#This Row],[Amplitude AXIAL force (N)]]+Tabella2[[#This Row],[Mean AXIAL force (N)]],"Null")</f>
        <v>4560</v>
      </c>
      <c r="AE4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4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  <c r="AI4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0" spans="1:35" x14ac:dyDescent="0.25">
      <c r="A50" s="1" t="s">
        <v>86</v>
      </c>
      <c r="B50" s="1">
        <v>2024</v>
      </c>
      <c r="C50" s="1" t="s">
        <v>55</v>
      </c>
      <c r="D50" s="1" t="s">
        <v>108</v>
      </c>
      <c r="E50" s="8">
        <v>10248220</v>
      </c>
      <c r="F50" s="1" t="s">
        <v>50</v>
      </c>
      <c r="G50" s="1" t="s">
        <v>43</v>
      </c>
      <c r="H50" s="1" t="e" vm="2">
        <v>#VALUE!</v>
      </c>
      <c r="I50" s="1" t="s">
        <v>109</v>
      </c>
      <c r="J50" s="1" t="s">
        <v>50</v>
      </c>
      <c r="K50" s="1" t="s">
        <v>35</v>
      </c>
      <c r="L50" s="8">
        <f t="shared" si="2"/>
        <v>24</v>
      </c>
      <c r="M50" s="8" t="s">
        <v>35</v>
      </c>
      <c r="N50" s="1" t="s">
        <v>35</v>
      </c>
      <c r="O50" s="1" t="s">
        <v>35</v>
      </c>
      <c r="P50" s="1" t="s">
        <v>35</v>
      </c>
      <c r="Q50" s="1">
        <v>0</v>
      </c>
      <c r="R50" s="1" t="s">
        <v>35</v>
      </c>
      <c r="S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0" s="1" t="s">
        <v>35</v>
      </c>
      <c r="U50" s="1">
        <f>IF(ISNUMBER(Tabella2[[#This Row],[Amplitute AXIAL stress  (MPa)]]), (1+Tabella2[[#This Row],[Load ratio (AXIAL)]])*Tabella2[[#This Row],[Amplitute AXIAL stress  (MPa)]]/(1-Tabella2[[#This Row],[Load ratio (AXIAL)]]), "Null")</f>
        <v>90</v>
      </c>
      <c r="V50" s="1">
        <v>90</v>
      </c>
      <c r="W5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0" s="1" t="s">
        <v>35</v>
      </c>
      <c r="Y50" s="7" t="str">
        <f>Tabella2[[#This Row],[Mean RADIAL stress  (MPa)]]</f>
        <v>Null</v>
      </c>
      <c r="Z50" s="7" t="str">
        <f>Tabella2[[#This Row],[Amplitute RADIAL stress  (MPa)]]</f>
        <v>Null</v>
      </c>
      <c r="AA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0" s="8">
        <f>IF( AND(ISNUMBER(Tabella2[[#This Row],[Mean AXIAL stress  (MPa)]]), ISNUMBER(Tabella2[[#This Row],[Area (mm^2)]])), Tabella2[[#This Row],[Mean AXIAL stress  (MPa)]]*Tabella2[[#This Row],[Area (mm^2)]], "Null")</f>
        <v>2160</v>
      </c>
      <c r="AC50" s="8">
        <f>IF( AND(ISNUMBER(Tabella2[[#This Row],[Amplitute AXIAL stress  (MPa)]]), ISNUMBER(Tabella2[[#This Row],[Area (mm^2)]])), Tabella2[[#This Row],[Amplitute AXIAL stress  (MPa)]]*Tabella2[[#This Row],[Area (mm^2)]],"Null")</f>
        <v>2160</v>
      </c>
      <c r="AD50" s="8">
        <f>IF( AND(ISNUMBER(Tabella2[[#This Row],[Amplitude AXIAL force (N)]]), ISNUMBER(Tabella2[[#This Row],[Mean AXIAL force (N)]])), Tabella2[[#This Row],[Amplitude AXIAL force (N)]]+Tabella2[[#This Row],[Mean AXIAL force (N)]],"Null")</f>
        <v>4320</v>
      </c>
      <c r="AE5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  <c r="AI5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1" spans="1:35" x14ac:dyDescent="0.25">
      <c r="A51" s="1" t="s">
        <v>86</v>
      </c>
      <c r="B51" s="1">
        <v>2024</v>
      </c>
      <c r="C51" s="1" t="s">
        <v>55</v>
      </c>
      <c r="D51" s="1" t="s">
        <v>110</v>
      </c>
      <c r="E51" s="11">
        <v>91731</v>
      </c>
      <c r="F51" s="1" t="s">
        <v>34</v>
      </c>
      <c r="G51" s="1" t="s">
        <v>43</v>
      </c>
      <c r="H51" s="1" t="e" vm="3">
        <v>#VALUE!</v>
      </c>
      <c r="I51" s="1" t="s">
        <v>109</v>
      </c>
      <c r="J51" s="1" t="s">
        <v>50</v>
      </c>
      <c r="K51" s="1" t="s">
        <v>35</v>
      </c>
      <c r="L51" s="8">
        <f t="shared" si="2"/>
        <v>24</v>
      </c>
      <c r="M51" s="8" t="s">
        <v>35</v>
      </c>
      <c r="N51" s="1" t="s">
        <v>35</v>
      </c>
      <c r="O51" s="1" t="s">
        <v>35</v>
      </c>
      <c r="P51" s="1" t="s">
        <v>35</v>
      </c>
      <c r="Q51" s="1">
        <v>0</v>
      </c>
      <c r="R51" s="1" t="s">
        <v>35</v>
      </c>
      <c r="S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1" s="1" t="s">
        <v>35</v>
      </c>
      <c r="U51" s="1">
        <f>IF(ISNUMBER(Tabella2[[#This Row],[Amplitute AXIAL stress  (MPa)]]), (1+Tabella2[[#This Row],[Load ratio (AXIAL)]])*Tabella2[[#This Row],[Amplitute AXIAL stress  (MPa)]]/(1-Tabella2[[#This Row],[Load ratio (AXIAL)]]), "Null")</f>
        <v>158.5</v>
      </c>
      <c r="V51" s="1">
        <v>158.5</v>
      </c>
      <c r="W5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1" s="1" t="s">
        <v>35</v>
      </c>
      <c r="Y51" s="7" t="str">
        <f>Tabella2[[#This Row],[Mean RADIAL stress  (MPa)]]</f>
        <v>Null</v>
      </c>
      <c r="Z51" s="7" t="str">
        <f>Tabella2[[#This Row],[Amplitute RADIAL stress  (MPa)]]</f>
        <v>Null</v>
      </c>
      <c r="AA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1" s="8">
        <f>IF( AND(ISNUMBER(Tabella2[[#This Row],[Mean AXIAL stress  (MPa)]]), ISNUMBER(Tabella2[[#This Row],[Area (mm^2)]])), Tabella2[[#This Row],[Mean AXIAL stress  (MPa)]]*Tabella2[[#This Row],[Area (mm^2)]], "Null")</f>
        <v>3804</v>
      </c>
      <c r="AC51" s="8">
        <f>IF( AND(ISNUMBER(Tabella2[[#This Row],[Amplitute AXIAL stress  (MPa)]]), ISNUMBER(Tabella2[[#This Row],[Area (mm^2)]])), Tabella2[[#This Row],[Amplitute AXIAL stress  (MPa)]]*Tabella2[[#This Row],[Area (mm^2)]],"Null")</f>
        <v>3804</v>
      </c>
      <c r="AD51" s="8">
        <f>IF( AND(ISNUMBER(Tabella2[[#This Row],[Amplitude AXIAL force (N)]]), ISNUMBER(Tabella2[[#This Row],[Mean AXIAL force (N)]])), Tabella2[[#This Row],[Amplitude AXIAL force (N)]]+Tabella2[[#This Row],[Mean AXIAL force (N)]],"Null")</f>
        <v>7608</v>
      </c>
      <c r="AE5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158.5</v>
      </c>
      <c r="AI5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2" spans="1:35" x14ac:dyDescent="0.25">
      <c r="A52" s="1" t="s">
        <v>86</v>
      </c>
      <c r="B52" s="1">
        <v>2024</v>
      </c>
      <c r="C52" s="1" t="s">
        <v>55</v>
      </c>
      <c r="D52" s="1" t="s">
        <v>111</v>
      </c>
      <c r="E52" s="11">
        <v>98171</v>
      </c>
      <c r="F52" s="1" t="s">
        <v>34</v>
      </c>
      <c r="G52" s="1" t="s">
        <v>43</v>
      </c>
      <c r="H52" s="1" t="e" vm="3">
        <v>#VALUE!</v>
      </c>
      <c r="I52" s="1" t="s">
        <v>109</v>
      </c>
      <c r="J52" s="1" t="s">
        <v>50</v>
      </c>
      <c r="K52" s="1" t="s">
        <v>35</v>
      </c>
      <c r="L52" s="8">
        <f t="shared" si="2"/>
        <v>24</v>
      </c>
      <c r="M52" s="8" t="s">
        <v>35</v>
      </c>
      <c r="N52" s="1" t="s">
        <v>35</v>
      </c>
      <c r="O52" s="1" t="s">
        <v>35</v>
      </c>
      <c r="P52" s="1" t="s">
        <v>35</v>
      </c>
      <c r="Q52" s="1">
        <v>0</v>
      </c>
      <c r="R52" s="1" t="s">
        <v>35</v>
      </c>
      <c r="S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2" s="1" t="s">
        <v>35</v>
      </c>
      <c r="U52" s="1">
        <f>IF(ISNUMBER(Tabella2[[#This Row],[Amplitute AXIAL stress  (MPa)]]), (1+Tabella2[[#This Row],[Load ratio (AXIAL)]])*Tabella2[[#This Row],[Amplitute AXIAL stress  (MPa)]]/(1-Tabella2[[#This Row],[Load ratio (AXIAL)]]), "Null")</f>
        <v>158.5</v>
      </c>
      <c r="V52" s="1">
        <v>158.5</v>
      </c>
      <c r="W5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2" s="1" t="s">
        <v>35</v>
      </c>
      <c r="Y52" s="7" t="str">
        <f>Tabella2[[#This Row],[Mean RADIAL stress  (MPa)]]</f>
        <v>Null</v>
      </c>
      <c r="Z52" s="7" t="str">
        <f>Tabella2[[#This Row],[Amplitute RADIAL stress  (MPa)]]</f>
        <v>Null</v>
      </c>
      <c r="AA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2" s="8">
        <f>IF( AND(ISNUMBER(Tabella2[[#This Row],[Mean AXIAL stress  (MPa)]]), ISNUMBER(Tabella2[[#This Row],[Area (mm^2)]])), Tabella2[[#This Row],[Mean AXIAL stress  (MPa)]]*Tabella2[[#This Row],[Area (mm^2)]], "Null")</f>
        <v>3804</v>
      </c>
      <c r="AC52" s="8">
        <f>IF( AND(ISNUMBER(Tabella2[[#This Row],[Amplitute AXIAL stress  (MPa)]]), ISNUMBER(Tabella2[[#This Row],[Area (mm^2)]])), Tabella2[[#This Row],[Amplitute AXIAL stress  (MPa)]]*Tabella2[[#This Row],[Area (mm^2)]],"Null")</f>
        <v>3804</v>
      </c>
      <c r="AD52" s="8">
        <f>IF( AND(ISNUMBER(Tabella2[[#This Row],[Amplitude AXIAL force (N)]]), ISNUMBER(Tabella2[[#This Row],[Mean AXIAL force (N)]])), Tabella2[[#This Row],[Amplitude AXIAL force (N)]]+Tabella2[[#This Row],[Mean AXIAL force (N)]],"Null")</f>
        <v>7608</v>
      </c>
      <c r="AE5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158.5</v>
      </c>
      <c r="AI5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3" spans="1:35" x14ac:dyDescent="0.25">
      <c r="A53" s="1" t="s">
        <v>86</v>
      </c>
      <c r="B53" s="1">
        <v>2024</v>
      </c>
      <c r="C53" s="1" t="s">
        <v>55</v>
      </c>
      <c r="D53" s="1" t="s">
        <v>112</v>
      </c>
      <c r="E53" s="11">
        <v>111717</v>
      </c>
      <c r="F53" s="1" t="s">
        <v>34</v>
      </c>
      <c r="G53" s="1" t="s">
        <v>43</v>
      </c>
      <c r="H53" s="1" t="e" vm="3">
        <v>#VALUE!</v>
      </c>
      <c r="I53" s="1" t="s">
        <v>109</v>
      </c>
      <c r="J53" s="1" t="s">
        <v>50</v>
      </c>
      <c r="K53" s="1" t="s">
        <v>35</v>
      </c>
      <c r="L53" s="8">
        <f t="shared" si="2"/>
        <v>24</v>
      </c>
      <c r="M53" s="8" t="s">
        <v>35</v>
      </c>
      <c r="N53" s="1" t="s">
        <v>35</v>
      </c>
      <c r="O53" s="1" t="s">
        <v>35</v>
      </c>
      <c r="P53" s="1" t="s">
        <v>35</v>
      </c>
      <c r="Q53" s="1">
        <v>0</v>
      </c>
      <c r="R53" s="1" t="s">
        <v>35</v>
      </c>
      <c r="S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3" s="1" t="s">
        <v>35</v>
      </c>
      <c r="U53" s="1">
        <f>IF(ISNUMBER(Tabella2[[#This Row],[Amplitute AXIAL stress  (MPa)]]), (1+Tabella2[[#This Row],[Load ratio (AXIAL)]])*Tabella2[[#This Row],[Amplitute AXIAL stress  (MPa)]]/(1-Tabella2[[#This Row],[Load ratio (AXIAL)]]), "Null")</f>
        <v>150</v>
      </c>
      <c r="V53" s="1">
        <v>150</v>
      </c>
      <c r="W5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3" s="1" t="s">
        <v>35</v>
      </c>
      <c r="Y53" s="7" t="str">
        <f>Tabella2[[#This Row],[Mean RADIAL stress  (MPa)]]</f>
        <v>Null</v>
      </c>
      <c r="Z53" s="7" t="str">
        <f>Tabella2[[#This Row],[Amplitute RADIAL stress  (MPa)]]</f>
        <v>Null</v>
      </c>
      <c r="AA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3" s="8">
        <f>IF( AND(ISNUMBER(Tabella2[[#This Row],[Mean AXIAL stress  (MPa)]]), ISNUMBER(Tabella2[[#This Row],[Area (mm^2)]])), Tabella2[[#This Row],[Mean AXIAL stress  (MPa)]]*Tabella2[[#This Row],[Area (mm^2)]], "Null")</f>
        <v>3600</v>
      </c>
      <c r="AC53" s="8">
        <f>IF( AND(ISNUMBER(Tabella2[[#This Row],[Amplitute AXIAL stress  (MPa)]]), ISNUMBER(Tabella2[[#This Row],[Area (mm^2)]])), Tabella2[[#This Row],[Amplitute AXIAL stress  (MPa)]]*Tabella2[[#This Row],[Area (mm^2)]],"Null")</f>
        <v>3600</v>
      </c>
      <c r="AD53" s="8">
        <f>IF( AND(ISNUMBER(Tabella2[[#This Row],[Amplitude AXIAL force (N)]]), ISNUMBER(Tabella2[[#This Row],[Mean AXIAL force (N)]])), Tabella2[[#This Row],[Amplitude AXIAL force (N)]]+Tabella2[[#This Row],[Mean AXIAL force (N)]],"Null")</f>
        <v>7200</v>
      </c>
      <c r="AE5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5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4" spans="1:35" x14ac:dyDescent="0.25">
      <c r="A54" s="1" t="s">
        <v>86</v>
      </c>
      <c r="B54" s="1">
        <v>2024</v>
      </c>
      <c r="C54" s="1" t="s">
        <v>55</v>
      </c>
      <c r="D54" s="1" t="s">
        <v>113</v>
      </c>
      <c r="E54" s="11">
        <v>129814</v>
      </c>
      <c r="F54" s="1" t="s">
        <v>34</v>
      </c>
      <c r="G54" s="1" t="s">
        <v>43</v>
      </c>
      <c r="H54" s="1" t="e" vm="3">
        <v>#VALUE!</v>
      </c>
      <c r="I54" s="1" t="s">
        <v>109</v>
      </c>
      <c r="J54" s="1" t="s">
        <v>50</v>
      </c>
      <c r="K54" s="1" t="s">
        <v>35</v>
      </c>
      <c r="L54" s="8">
        <f t="shared" si="2"/>
        <v>24</v>
      </c>
      <c r="M54" s="8" t="s">
        <v>35</v>
      </c>
      <c r="N54" s="1" t="s">
        <v>35</v>
      </c>
      <c r="O54" s="1" t="s">
        <v>35</v>
      </c>
      <c r="P54" s="1" t="s">
        <v>35</v>
      </c>
      <c r="Q54" s="1">
        <v>0</v>
      </c>
      <c r="R54" s="1" t="s">
        <v>35</v>
      </c>
      <c r="S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4" s="1" t="s">
        <v>35</v>
      </c>
      <c r="U54" s="1">
        <f>IF(ISNUMBER(Tabella2[[#This Row],[Amplitute AXIAL stress  (MPa)]]), (1+Tabella2[[#This Row],[Load ratio (AXIAL)]])*Tabella2[[#This Row],[Amplitute AXIAL stress  (MPa)]]/(1-Tabella2[[#This Row],[Load ratio (AXIAL)]]), "Null")</f>
        <v>153</v>
      </c>
      <c r="V54" s="1">
        <v>153</v>
      </c>
      <c r="W5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4" s="1" t="s">
        <v>35</v>
      </c>
      <c r="Y54" s="7" t="str">
        <f>Tabella2[[#This Row],[Mean RADIAL stress  (MPa)]]</f>
        <v>Null</v>
      </c>
      <c r="Z54" s="7" t="str">
        <f>Tabella2[[#This Row],[Amplitute RADIAL stress  (MPa)]]</f>
        <v>Null</v>
      </c>
      <c r="AA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4" s="8">
        <f>IF( AND(ISNUMBER(Tabella2[[#This Row],[Mean AXIAL stress  (MPa)]]), ISNUMBER(Tabella2[[#This Row],[Area (mm^2)]])), Tabella2[[#This Row],[Mean AXIAL stress  (MPa)]]*Tabella2[[#This Row],[Area (mm^2)]], "Null")</f>
        <v>3672</v>
      </c>
      <c r="AC54" s="8">
        <f>IF( AND(ISNUMBER(Tabella2[[#This Row],[Amplitute AXIAL stress  (MPa)]]), ISNUMBER(Tabella2[[#This Row],[Area (mm^2)]])), Tabella2[[#This Row],[Amplitute AXIAL stress  (MPa)]]*Tabella2[[#This Row],[Area (mm^2)]],"Null")</f>
        <v>3672</v>
      </c>
      <c r="AD54" s="8">
        <f>IF( AND(ISNUMBER(Tabella2[[#This Row],[Amplitude AXIAL force (N)]]), ISNUMBER(Tabella2[[#This Row],[Mean AXIAL force (N)]])), Tabella2[[#This Row],[Amplitude AXIAL force (N)]]+Tabella2[[#This Row],[Mean AXIAL force (N)]],"Null")</f>
        <v>7344</v>
      </c>
      <c r="AE5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153</v>
      </c>
      <c r="AI5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5" spans="1:35" x14ac:dyDescent="0.25">
      <c r="A55" s="1" t="s">
        <v>86</v>
      </c>
      <c r="B55" s="1">
        <v>2024</v>
      </c>
      <c r="C55" s="1" t="s">
        <v>55</v>
      </c>
      <c r="D55" s="1" t="s">
        <v>114</v>
      </c>
      <c r="E55" s="11">
        <v>220373</v>
      </c>
      <c r="F55" s="1" t="s">
        <v>34</v>
      </c>
      <c r="G55" s="1" t="s">
        <v>43</v>
      </c>
      <c r="H55" s="1" t="e" vm="3">
        <v>#VALUE!</v>
      </c>
      <c r="I55" s="1" t="s">
        <v>109</v>
      </c>
      <c r="J55" s="1" t="s">
        <v>50</v>
      </c>
      <c r="K55" s="1" t="s">
        <v>35</v>
      </c>
      <c r="L55" s="8">
        <f t="shared" si="2"/>
        <v>24</v>
      </c>
      <c r="M55" s="8" t="s">
        <v>35</v>
      </c>
      <c r="N55" s="1" t="s">
        <v>35</v>
      </c>
      <c r="O55" s="1" t="s">
        <v>35</v>
      </c>
      <c r="P55" s="1" t="s">
        <v>35</v>
      </c>
      <c r="Q55" s="1">
        <v>0</v>
      </c>
      <c r="R55" s="1" t="s">
        <v>35</v>
      </c>
      <c r="S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5" s="1" t="s">
        <v>35</v>
      </c>
      <c r="U55" s="1">
        <f>IF(ISNUMBER(Tabella2[[#This Row],[Amplitute AXIAL stress  (MPa)]]), (1+Tabella2[[#This Row],[Load ratio (AXIAL)]])*Tabella2[[#This Row],[Amplitute AXIAL stress  (MPa)]]/(1-Tabella2[[#This Row],[Load ratio (AXIAL)]]), "Null")</f>
        <v>146</v>
      </c>
      <c r="V55" s="1">
        <v>146</v>
      </c>
      <c r="W5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5" s="1" t="s">
        <v>35</v>
      </c>
      <c r="Y55" s="7" t="str">
        <f>Tabella2[[#This Row],[Mean RADIAL stress  (MPa)]]</f>
        <v>Null</v>
      </c>
      <c r="Z55" s="7" t="str">
        <f>Tabella2[[#This Row],[Amplitute RADIAL stress  (MPa)]]</f>
        <v>Null</v>
      </c>
      <c r="AA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5" s="8">
        <f>IF( AND(ISNUMBER(Tabella2[[#This Row],[Mean AXIAL stress  (MPa)]]), ISNUMBER(Tabella2[[#This Row],[Area (mm^2)]])), Tabella2[[#This Row],[Mean AXIAL stress  (MPa)]]*Tabella2[[#This Row],[Area (mm^2)]], "Null")</f>
        <v>3504</v>
      </c>
      <c r="AC55" s="8">
        <f>IF( AND(ISNUMBER(Tabella2[[#This Row],[Amplitute AXIAL stress  (MPa)]]), ISNUMBER(Tabella2[[#This Row],[Area (mm^2)]])), Tabella2[[#This Row],[Amplitute AXIAL stress  (MPa)]]*Tabella2[[#This Row],[Area (mm^2)]],"Null")</f>
        <v>3504</v>
      </c>
      <c r="AD55" s="8">
        <f>IF( AND(ISNUMBER(Tabella2[[#This Row],[Amplitude AXIAL force (N)]]), ISNUMBER(Tabella2[[#This Row],[Mean AXIAL force (N)]])), Tabella2[[#This Row],[Amplitude AXIAL force (N)]]+Tabella2[[#This Row],[Mean AXIAL force (N)]],"Null")</f>
        <v>7008</v>
      </c>
      <c r="AE5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146</v>
      </c>
      <c r="AI5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6" spans="1:35" x14ac:dyDescent="0.25">
      <c r="A56" s="1" t="s">
        <v>86</v>
      </c>
      <c r="B56" s="1">
        <v>2024</v>
      </c>
      <c r="C56" s="1" t="s">
        <v>55</v>
      </c>
      <c r="D56" s="1" t="s">
        <v>115</v>
      </c>
      <c r="E56" s="11">
        <v>223607</v>
      </c>
      <c r="F56" s="1" t="s">
        <v>34</v>
      </c>
      <c r="G56" s="1" t="s">
        <v>43</v>
      </c>
      <c r="H56" s="1" t="e" vm="3">
        <v>#VALUE!</v>
      </c>
      <c r="I56" s="1" t="s">
        <v>109</v>
      </c>
      <c r="J56" s="1" t="s">
        <v>50</v>
      </c>
      <c r="K56" s="1" t="s">
        <v>35</v>
      </c>
      <c r="L56" s="8">
        <f t="shared" si="2"/>
        <v>24</v>
      </c>
      <c r="M56" s="8" t="s">
        <v>35</v>
      </c>
      <c r="N56" s="1" t="s">
        <v>35</v>
      </c>
      <c r="O56" s="1" t="s">
        <v>35</v>
      </c>
      <c r="P56" s="1" t="s">
        <v>35</v>
      </c>
      <c r="Q56" s="1">
        <v>0</v>
      </c>
      <c r="R56" s="1" t="s">
        <v>35</v>
      </c>
      <c r="S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6" s="1" t="s">
        <v>35</v>
      </c>
      <c r="U56" s="1">
        <f>IF(ISNUMBER(Tabella2[[#This Row],[Amplitute AXIAL stress  (MPa)]]), (1+Tabella2[[#This Row],[Load ratio (AXIAL)]])*Tabella2[[#This Row],[Amplitute AXIAL stress  (MPa)]]/(1-Tabella2[[#This Row],[Load ratio (AXIAL)]]), "Null")</f>
        <v>146.5</v>
      </c>
      <c r="V56" s="1">
        <v>146.5</v>
      </c>
      <c r="W5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6" s="1" t="s">
        <v>35</v>
      </c>
      <c r="Y56" s="7" t="str">
        <f>Tabella2[[#This Row],[Mean RADIAL stress  (MPa)]]</f>
        <v>Null</v>
      </c>
      <c r="Z56" s="7" t="str">
        <f>Tabella2[[#This Row],[Amplitute RADIAL stress  (MPa)]]</f>
        <v>Null</v>
      </c>
      <c r="AA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6" s="8">
        <f>IF( AND(ISNUMBER(Tabella2[[#This Row],[Mean AXIAL stress  (MPa)]]), ISNUMBER(Tabella2[[#This Row],[Area (mm^2)]])), Tabella2[[#This Row],[Mean AXIAL stress  (MPa)]]*Tabella2[[#This Row],[Area (mm^2)]], "Null")</f>
        <v>3516</v>
      </c>
      <c r="AC56" s="8">
        <f>IF( AND(ISNUMBER(Tabella2[[#This Row],[Amplitute AXIAL stress  (MPa)]]), ISNUMBER(Tabella2[[#This Row],[Area (mm^2)]])), Tabella2[[#This Row],[Amplitute AXIAL stress  (MPa)]]*Tabella2[[#This Row],[Area (mm^2)]],"Null")</f>
        <v>3516</v>
      </c>
      <c r="AD56" s="8">
        <f>IF( AND(ISNUMBER(Tabella2[[#This Row],[Amplitude AXIAL force (N)]]), ISNUMBER(Tabella2[[#This Row],[Mean AXIAL force (N)]])), Tabella2[[#This Row],[Amplitude AXIAL force (N)]]+Tabella2[[#This Row],[Mean AXIAL force (N)]],"Null")</f>
        <v>7032</v>
      </c>
      <c r="AE5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146.5</v>
      </c>
      <c r="AI5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7" spans="1:35" x14ac:dyDescent="0.25">
      <c r="A57" s="1" t="s">
        <v>86</v>
      </c>
      <c r="B57" s="1">
        <v>2024</v>
      </c>
      <c r="C57" s="1" t="s">
        <v>55</v>
      </c>
      <c r="D57" s="1" t="s">
        <v>116</v>
      </c>
      <c r="E57" s="11">
        <v>249456</v>
      </c>
      <c r="F57" s="1" t="s">
        <v>34</v>
      </c>
      <c r="G57" s="1" t="s">
        <v>43</v>
      </c>
      <c r="H57" s="1" t="e" vm="3">
        <v>#VALUE!</v>
      </c>
      <c r="I57" s="1" t="s">
        <v>109</v>
      </c>
      <c r="J57" s="1" t="s">
        <v>50</v>
      </c>
      <c r="K57" s="1" t="s">
        <v>35</v>
      </c>
      <c r="L57" s="8">
        <f t="shared" si="2"/>
        <v>24</v>
      </c>
      <c r="M57" s="8" t="s">
        <v>35</v>
      </c>
      <c r="N57" s="1" t="s">
        <v>35</v>
      </c>
      <c r="O57" s="1" t="s">
        <v>35</v>
      </c>
      <c r="P57" s="1" t="s">
        <v>35</v>
      </c>
      <c r="Q57" s="1">
        <v>0</v>
      </c>
      <c r="R57" s="1" t="s">
        <v>35</v>
      </c>
      <c r="S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7" s="1" t="s">
        <v>35</v>
      </c>
      <c r="U57" s="1">
        <f>IF(ISNUMBER(Tabella2[[#This Row],[Amplitute AXIAL stress  (MPa)]]), (1+Tabella2[[#This Row],[Load ratio (AXIAL)]])*Tabella2[[#This Row],[Amplitute AXIAL stress  (MPa)]]/(1-Tabella2[[#This Row],[Load ratio (AXIAL)]]), "Null")</f>
        <v>137.5</v>
      </c>
      <c r="V57" s="1">
        <v>137.5</v>
      </c>
      <c r="W5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7" s="1" t="s">
        <v>35</v>
      </c>
      <c r="Y57" s="7" t="str">
        <f>Tabella2[[#This Row],[Mean RADIAL stress  (MPa)]]</f>
        <v>Null</v>
      </c>
      <c r="Z57" s="7" t="str">
        <f>Tabella2[[#This Row],[Amplitute RADIAL stress  (MPa)]]</f>
        <v>Null</v>
      </c>
      <c r="AA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7" s="8">
        <f>IF( AND(ISNUMBER(Tabella2[[#This Row],[Mean AXIAL stress  (MPa)]]), ISNUMBER(Tabella2[[#This Row],[Area (mm^2)]])), Tabella2[[#This Row],[Mean AXIAL stress  (MPa)]]*Tabella2[[#This Row],[Area (mm^2)]], "Null")</f>
        <v>3300</v>
      </c>
      <c r="AC57" s="8">
        <f>IF( AND(ISNUMBER(Tabella2[[#This Row],[Amplitute AXIAL stress  (MPa)]]), ISNUMBER(Tabella2[[#This Row],[Area (mm^2)]])), Tabella2[[#This Row],[Amplitute AXIAL stress  (MPa)]]*Tabella2[[#This Row],[Area (mm^2)]],"Null")</f>
        <v>3300</v>
      </c>
      <c r="AD57" s="8">
        <f>IF( AND(ISNUMBER(Tabella2[[#This Row],[Amplitude AXIAL force (N)]]), ISNUMBER(Tabella2[[#This Row],[Mean AXIAL force (N)]])), Tabella2[[#This Row],[Amplitude AXIAL force (N)]]+Tabella2[[#This Row],[Mean AXIAL force (N)]],"Null")</f>
        <v>6600</v>
      </c>
      <c r="AE5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  <c r="AI5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8" spans="1:35" x14ac:dyDescent="0.25">
      <c r="A58" s="1" t="s">
        <v>86</v>
      </c>
      <c r="B58" s="1">
        <v>2024</v>
      </c>
      <c r="C58" s="1" t="s">
        <v>55</v>
      </c>
      <c r="D58" s="1" t="s">
        <v>117</v>
      </c>
      <c r="E58" s="11">
        <v>283473</v>
      </c>
      <c r="F58" s="1" t="s">
        <v>34</v>
      </c>
      <c r="G58" s="1" t="s">
        <v>43</v>
      </c>
      <c r="H58" s="1" t="e" vm="3">
        <v>#VALUE!</v>
      </c>
      <c r="I58" s="1" t="s">
        <v>109</v>
      </c>
      <c r="J58" s="1" t="s">
        <v>50</v>
      </c>
      <c r="K58" s="1" t="s">
        <v>35</v>
      </c>
      <c r="L58" s="8">
        <f t="shared" si="2"/>
        <v>24</v>
      </c>
      <c r="M58" s="8" t="s">
        <v>35</v>
      </c>
      <c r="N58" s="1" t="s">
        <v>35</v>
      </c>
      <c r="O58" s="1" t="s">
        <v>35</v>
      </c>
      <c r="P58" s="1" t="s">
        <v>35</v>
      </c>
      <c r="Q58" s="1">
        <v>0</v>
      </c>
      <c r="R58" s="1" t="s">
        <v>35</v>
      </c>
      <c r="S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8" s="1" t="s">
        <v>35</v>
      </c>
      <c r="U58" s="1">
        <f>IF(ISNUMBER(Tabella2[[#This Row],[Amplitute AXIAL stress  (MPa)]]), (1+Tabella2[[#This Row],[Load ratio (AXIAL)]])*Tabella2[[#This Row],[Amplitute AXIAL stress  (MPa)]]/(1-Tabella2[[#This Row],[Load ratio (AXIAL)]]), "Null")</f>
        <v>133.5</v>
      </c>
      <c r="V58" s="1">
        <v>133.5</v>
      </c>
      <c r="W5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8" s="1" t="s">
        <v>35</v>
      </c>
      <c r="Y58" s="7" t="str">
        <f>Tabella2[[#This Row],[Mean RADIAL stress  (MPa)]]</f>
        <v>Null</v>
      </c>
      <c r="Z58" s="7" t="str">
        <f>Tabella2[[#This Row],[Amplitute RADIAL stress  (MPa)]]</f>
        <v>Null</v>
      </c>
      <c r="AA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8" s="8">
        <f>IF( AND(ISNUMBER(Tabella2[[#This Row],[Mean AXIAL stress  (MPa)]]), ISNUMBER(Tabella2[[#This Row],[Area (mm^2)]])), Tabella2[[#This Row],[Mean AXIAL stress  (MPa)]]*Tabella2[[#This Row],[Area (mm^2)]], "Null")</f>
        <v>3204</v>
      </c>
      <c r="AC58" s="8">
        <f>IF( AND(ISNUMBER(Tabella2[[#This Row],[Amplitute AXIAL stress  (MPa)]]), ISNUMBER(Tabella2[[#This Row],[Area (mm^2)]])), Tabella2[[#This Row],[Amplitute AXIAL stress  (MPa)]]*Tabella2[[#This Row],[Area (mm^2)]],"Null")</f>
        <v>3204</v>
      </c>
      <c r="AD58" s="8">
        <f>IF( AND(ISNUMBER(Tabella2[[#This Row],[Amplitude AXIAL force (N)]]), ISNUMBER(Tabella2[[#This Row],[Mean AXIAL force (N)]])), Tabella2[[#This Row],[Amplitude AXIAL force (N)]]+Tabella2[[#This Row],[Mean AXIAL force (N)]],"Null")</f>
        <v>6408</v>
      </c>
      <c r="AE5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133.5</v>
      </c>
      <c r="AI5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9" spans="1:35" x14ac:dyDescent="0.25">
      <c r="A59" s="1" t="s">
        <v>86</v>
      </c>
      <c r="B59" s="1">
        <v>2024</v>
      </c>
      <c r="C59" s="1" t="s">
        <v>55</v>
      </c>
      <c r="D59" s="1" t="s">
        <v>118</v>
      </c>
      <c r="E59" s="11">
        <v>337118</v>
      </c>
      <c r="F59" s="1" t="s">
        <v>34</v>
      </c>
      <c r="G59" s="1" t="s">
        <v>43</v>
      </c>
      <c r="H59" s="1" t="e" vm="3">
        <v>#VALUE!</v>
      </c>
      <c r="I59" s="1" t="s">
        <v>109</v>
      </c>
      <c r="J59" s="1" t="s">
        <v>50</v>
      </c>
      <c r="K59" s="1" t="s">
        <v>35</v>
      </c>
      <c r="L59" s="8">
        <f t="shared" si="2"/>
        <v>24</v>
      </c>
      <c r="M59" s="8" t="s">
        <v>35</v>
      </c>
      <c r="N59" s="1" t="s">
        <v>35</v>
      </c>
      <c r="O59" s="1" t="s">
        <v>35</v>
      </c>
      <c r="P59" s="1" t="s">
        <v>35</v>
      </c>
      <c r="Q59" s="1">
        <v>0</v>
      </c>
      <c r="R59" s="1" t="s">
        <v>35</v>
      </c>
      <c r="S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9" s="1" t="s">
        <v>35</v>
      </c>
      <c r="U59" s="1">
        <f>IF(ISNUMBER(Tabella2[[#This Row],[Amplitute AXIAL stress  (MPa)]]), (1+Tabella2[[#This Row],[Load ratio (AXIAL)]])*Tabella2[[#This Row],[Amplitute AXIAL stress  (MPa)]]/(1-Tabella2[[#This Row],[Load ratio (AXIAL)]]), "Null")</f>
        <v>141.5</v>
      </c>
      <c r="V59" s="7">
        <v>141.5</v>
      </c>
      <c r="W5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9" s="1" t="s">
        <v>35</v>
      </c>
      <c r="Y59" s="7" t="str">
        <f>Tabella2[[#This Row],[Mean RADIAL stress  (MPa)]]</f>
        <v>Null</v>
      </c>
      <c r="Z59" s="7" t="str">
        <f>Tabella2[[#This Row],[Amplitute RADIAL stress  (MPa)]]</f>
        <v>Null</v>
      </c>
      <c r="AA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9" s="8">
        <f>IF( AND(ISNUMBER(Tabella2[[#This Row],[Mean AXIAL stress  (MPa)]]), ISNUMBER(Tabella2[[#This Row],[Area (mm^2)]])), Tabella2[[#This Row],[Mean AXIAL stress  (MPa)]]*Tabella2[[#This Row],[Area (mm^2)]], "Null")</f>
        <v>3396</v>
      </c>
      <c r="AC59" s="8">
        <f>IF( AND(ISNUMBER(Tabella2[[#This Row],[Amplitute AXIAL stress  (MPa)]]), ISNUMBER(Tabella2[[#This Row],[Area (mm^2)]])), Tabella2[[#This Row],[Amplitute AXIAL stress  (MPa)]]*Tabella2[[#This Row],[Area (mm^2)]],"Null")</f>
        <v>3396</v>
      </c>
      <c r="AD59" s="8">
        <f>IF( AND(ISNUMBER(Tabella2[[#This Row],[Amplitude AXIAL force (N)]]), ISNUMBER(Tabella2[[#This Row],[Mean AXIAL force (N)]])), Tabella2[[#This Row],[Amplitude AXIAL force (N)]]+Tabella2[[#This Row],[Mean AXIAL force (N)]],"Null")</f>
        <v>6792</v>
      </c>
      <c r="AE5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5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141.5</v>
      </c>
      <c r="AI5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0" spans="1:35" x14ac:dyDescent="0.25">
      <c r="A60" s="1" t="s">
        <v>86</v>
      </c>
      <c r="B60" s="1">
        <v>2024</v>
      </c>
      <c r="C60" s="1" t="s">
        <v>55</v>
      </c>
      <c r="D60" s="1" t="s">
        <v>119</v>
      </c>
      <c r="E60" s="11">
        <v>347909</v>
      </c>
      <c r="F60" s="1" t="s">
        <v>34</v>
      </c>
      <c r="G60" s="1" t="s">
        <v>43</v>
      </c>
      <c r="H60" s="1" t="e" vm="3">
        <v>#VALUE!</v>
      </c>
      <c r="I60" s="1" t="s">
        <v>109</v>
      </c>
      <c r="J60" s="1" t="s">
        <v>50</v>
      </c>
      <c r="K60" s="1" t="s">
        <v>35</v>
      </c>
      <c r="L60" s="8">
        <f t="shared" si="2"/>
        <v>24</v>
      </c>
      <c r="M60" s="8" t="s">
        <v>35</v>
      </c>
      <c r="N60" s="1" t="s">
        <v>35</v>
      </c>
      <c r="O60" s="1" t="s">
        <v>35</v>
      </c>
      <c r="P60" s="1" t="s">
        <v>35</v>
      </c>
      <c r="Q60" s="1">
        <v>0</v>
      </c>
      <c r="R60" s="1" t="s">
        <v>35</v>
      </c>
      <c r="S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0" s="1" t="s">
        <v>35</v>
      </c>
      <c r="U60" s="1">
        <f>IF(ISNUMBER(Tabella2[[#This Row],[Amplitute AXIAL stress  (MPa)]]), (1+Tabella2[[#This Row],[Load ratio (AXIAL)]])*Tabella2[[#This Row],[Amplitute AXIAL stress  (MPa)]]/(1-Tabella2[[#This Row],[Load ratio (AXIAL)]]), "Null")</f>
        <v>144</v>
      </c>
      <c r="V60" s="7">
        <v>144</v>
      </c>
      <c r="W6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0" s="1" t="s">
        <v>35</v>
      </c>
      <c r="Y60" s="7" t="str">
        <f>Tabella2[[#This Row],[Mean RADIAL stress  (MPa)]]</f>
        <v>Null</v>
      </c>
      <c r="Z60" s="7" t="str">
        <f>Tabella2[[#This Row],[Amplitute RADIAL stress  (MPa)]]</f>
        <v>Null</v>
      </c>
      <c r="AA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0" s="8">
        <f>IF( AND(ISNUMBER(Tabella2[[#This Row],[Mean AXIAL stress  (MPa)]]), ISNUMBER(Tabella2[[#This Row],[Area (mm^2)]])), Tabella2[[#This Row],[Mean AXIAL stress  (MPa)]]*Tabella2[[#This Row],[Area (mm^2)]], "Null")</f>
        <v>3456</v>
      </c>
      <c r="AC60" s="8">
        <f>IF( AND(ISNUMBER(Tabella2[[#This Row],[Amplitute AXIAL stress  (MPa)]]), ISNUMBER(Tabella2[[#This Row],[Area (mm^2)]])), Tabella2[[#This Row],[Amplitute AXIAL stress  (MPa)]]*Tabella2[[#This Row],[Area (mm^2)]],"Null")</f>
        <v>3456</v>
      </c>
      <c r="AD60" s="8">
        <f>IF( AND(ISNUMBER(Tabella2[[#This Row],[Amplitude AXIAL force (N)]]), ISNUMBER(Tabella2[[#This Row],[Mean AXIAL force (N)]])), Tabella2[[#This Row],[Amplitude AXIAL force (N)]]+Tabella2[[#This Row],[Mean AXIAL force (N)]],"Null")</f>
        <v>6912</v>
      </c>
      <c r="AE6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144</v>
      </c>
      <c r="AI6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1" spans="1:35" x14ac:dyDescent="0.25">
      <c r="A61" s="1" t="s">
        <v>86</v>
      </c>
      <c r="B61" s="1">
        <v>2024</v>
      </c>
      <c r="C61" s="1" t="s">
        <v>55</v>
      </c>
      <c r="D61" s="1" t="s">
        <v>120</v>
      </c>
      <c r="E61" s="11">
        <v>415552</v>
      </c>
      <c r="F61" s="1" t="s">
        <v>34</v>
      </c>
      <c r="G61" s="1" t="s">
        <v>43</v>
      </c>
      <c r="H61" s="1" t="e" vm="3">
        <v>#VALUE!</v>
      </c>
      <c r="I61" s="1" t="s">
        <v>109</v>
      </c>
      <c r="J61" s="1" t="s">
        <v>50</v>
      </c>
      <c r="K61" s="1" t="s">
        <v>35</v>
      </c>
      <c r="L61" s="8">
        <f t="shared" si="2"/>
        <v>24</v>
      </c>
      <c r="M61" s="8" t="s">
        <v>35</v>
      </c>
      <c r="N61" s="1" t="s">
        <v>35</v>
      </c>
      <c r="O61" s="1" t="s">
        <v>35</v>
      </c>
      <c r="P61" s="1" t="s">
        <v>35</v>
      </c>
      <c r="Q61" s="1">
        <v>0</v>
      </c>
      <c r="R61" s="1" t="s">
        <v>35</v>
      </c>
      <c r="S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1" s="1" t="s">
        <v>35</v>
      </c>
      <c r="U61" s="1">
        <f>IF(ISNUMBER(Tabella2[[#This Row],[Amplitute AXIAL stress  (MPa)]]), (1+Tabella2[[#This Row],[Load ratio (AXIAL)]])*Tabella2[[#This Row],[Amplitute AXIAL stress  (MPa)]]/(1-Tabella2[[#This Row],[Load ratio (AXIAL)]]), "Null")</f>
        <v>125</v>
      </c>
      <c r="V61" s="7">
        <v>125</v>
      </c>
      <c r="W6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1" s="1" t="s">
        <v>35</v>
      </c>
      <c r="Y61" s="7" t="str">
        <f>Tabella2[[#This Row],[Mean RADIAL stress  (MPa)]]</f>
        <v>Null</v>
      </c>
      <c r="Z61" s="7" t="str">
        <f>Tabella2[[#This Row],[Amplitute RADIAL stress  (MPa)]]</f>
        <v>Null</v>
      </c>
      <c r="AA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1" s="8">
        <f>IF( AND(ISNUMBER(Tabella2[[#This Row],[Mean AXIAL stress  (MPa)]]), ISNUMBER(Tabella2[[#This Row],[Area (mm^2)]])), Tabella2[[#This Row],[Mean AXIAL stress  (MPa)]]*Tabella2[[#This Row],[Area (mm^2)]], "Null")</f>
        <v>3000</v>
      </c>
      <c r="AC61" s="8">
        <f>IF( AND(ISNUMBER(Tabella2[[#This Row],[Amplitute AXIAL stress  (MPa)]]), ISNUMBER(Tabella2[[#This Row],[Area (mm^2)]])), Tabella2[[#This Row],[Amplitute AXIAL stress  (MPa)]]*Tabella2[[#This Row],[Area (mm^2)]],"Null")</f>
        <v>3000</v>
      </c>
      <c r="AD61" s="8">
        <f>IF( AND(ISNUMBER(Tabella2[[#This Row],[Amplitude AXIAL force (N)]]), ISNUMBER(Tabella2[[#This Row],[Mean AXIAL force (N)]])), Tabella2[[#This Row],[Amplitude AXIAL force (N)]]+Tabella2[[#This Row],[Mean AXIAL force (N)]],"Null")</f>
        <v>6000</v>
      </c>
      <c r="AE6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6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2" spans="1:35" x14ac:dyDescent="0.25">
      <c r="A62" s="1" t="s">
        <v>86</v>
      </c>
      <c r="B62" s="1">
        <v>2024</v>
      </c>
      <c r="C62" s="1" t="s">
        <v>55</v>
      </c>
      <c r="D62" s="1" t="s">
        <v>121</v>
      </c>
      <c r="E62" s="11">
        <v>424117</v>
      </c>
      <c r="F62" s="1" t="s">
        <v>34</v>
      </c>
      <c r="G62" s="1" t="s">
        <v>43</v>
      </c>
      <c r="H62" s="1" t="e" vm="3">
        <v>#VALUE!</v>
      </c>
      <c r="I62" s="1" t="s">
        <v>109</v>
      </c>
      <c r="J62" s="1" t="s">
        <v>50</v>
      </c>
      <c r="K62" s="1" t="s">
        <v>35</v>
      </c>
      <c r="L62" s="8">
        <f t="shared" si="2"/>
        <v>24</v>
      </c>
      <c r="M62" s="8" t="s">
        <v>35</v>
      </c>
      <c r="N62" s="1" t="s">
        <v>35</v>
      </c>
      <c r="O62" s="1" t="s">
        <v>35</v>
      </c>
      <c r="P62" s="1" t="s">
        <v>35</v>
      </c>
      <c r="Q62" s="1">
        <v>0</v>
      </c>
      <c r="R62" s="1" t="s">
        <v>35</v>
      </c>
      <c r="S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2" s="1" t="s">
        <v>35</v>
      </c>
      <c r="U62" s="1">
        <f>IF(ISNUMBER(Tabella2[[#This Row],[Amplitute AXIAL stress  (MPa)]]), (1+Tabella2[[#This Row],[Load ratio (AXIAL)]])*Tabella2[[#This Row],[Amplitute AXIAL stress  (MPa)]]/(1-Tabella2[[#This Row],[Load ratio (AXIAL)]]), "Null")</f>
        <v>150</v>
      </c>
      <c r="V62" s="7">
        <v>150</v>
      </c>
      <c r="W6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2" s="1" t="s">
        <v>35</v>
      </c>
      <c r="Y62" s="7" t="str">
        <f>Tabella2[[#This Row],[Mean RADIAL stress  (MPa)]]</f>
        <v>Null</v>
      </c>
      <c r="Z62" s="7" t="str">
        <f>Tabella2[[#This Row],[Amplitute RADIAL stress  (MPa)]]</f>
        <v>Null</v>
      </c>
      <c r="AA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2" s="8">
        <f>IF( AND(ISNUMBER(Tabella2[[#This Row],[Mean AXIAL stress  (MPa)]]), ISNUMBER(Tabella2[[#This Row],[Area (mm^2)]])), Tabella2[[#This Row],[Mean AXIAL stress  (MPa)]]*Tabella2[[#This Row],[Area (mm^2)]], "Null")</f>
        <v>3600</v>
      </c>
      <c r="AC62" s="8">
        <f>IF( AND(ISNUMBER(Tabella2[[#This Row],[Amplitute AXIAL stress  (MPa)]]), ISNUMBER(Tabella2[[#This Row],[Area (mm^2)]])), Tabella2[[#This Row],[Amplitute AXIAL stress  (MPa)]]*Tabella2[[#This Row],[Area (mm^2)]],"Null")</f>
        <v>3600</v>
      </c>
      <c r="AD62" s="8">
        <f>IF( AND(ISNUMBER(Tabella2[[#This Row],[Amplitude AXIAL force (N)]]), ISNUMBER(Tabella2[[#This Row],[Mean AXIAL force (N)]])), Tabella2[[#This Row],[Amplitude AXIAL force (N)]]+Tabella2[[#This Row],[Mean AXIAL force (N)]],"Null")</f>
        <v>7200</v>
      </c>
      <c r="AE6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6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3" spans="1:35" x14ac:dyDescent="0.25">
      <c r="A63" s="1" t="s">
        <v>86</v>
      </c>
      <c r="B63" s="1">
        <v>2024</v>
      </c>
      <c r="C63" s="1" t="s">
        <v>55</v>
      </c>
      <c r="D63" s="1" t="s">
        <v>122</v>
      </c>
      <c r="E63" s="11">
        <v>660562</v>
      </c>
      <c r="F63" s="1" t="s">
        <v>34</v>
      </c>
      <c r="G63" s="1" t="s">
        <v>43</v>
      </c>
      <c r="H63" s="1" t="e" vm="3">
        <v>#VALUE!</v>
      </c>
      <c r="I63" s="1" t="s">
        <v>109</v>
      </c>
      <c r="J63" s="1" t="s">
        <v>50</v>
      </c>
      <c r="K63" s="1" t="s">
        <v>35</v>
      </c>
      <c r="L63" s="8">
        <f t="shared" si="2"/>
        <v>24</v>
      </c>
      <c r="M63" s="8" t="s">
        <v>35</v>
      </c>
      <c r="N63" s="1" t="s">
        <v>35</v>
      </c>
      <c r="O63" s="1" t="s">
        <v>35</v>
      </c>
      <c r="P63" s="1" t="s">
        <v>35</v>
      </c>
      <c r="Q63" s="1">
        <v>0</v>
      </c>
      <c r="R63" s="1" t="s">
        <v>35</v>
      </c>
      <c r="S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3" s="1" t="s">
        <v>35</v>
      </c>
      <c r="U63" s="1">
        <f>IF(ISNUMBER(Tabella2[[#This Row],[Amplitute AXIAL stress  (MPa)]]), (1+Tabella2[[#This Row],[Load ratio (AXIAL)]])*Tabella2[[#This Row],[Amplitute AXIAL stress  (MPa)]]/(1-Tabella2[[#This Row],[Load ratio (AXIAL)]]), "Null")</f>
        <v>129</v>
      </c>
      <c r="V63" s="7">
        <v>129</v>
      </c>
      <c r="W6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3" s="1" t="s">
        <v>35</v>
      </c>
      <c r="Y63" s="7" t="str">
        <f>Tabella2[[#This Row],[Mean RADIAL stress  (MPa)]]</f>
        <v>Null</v>
      </c>
      <c r="Z63" s="7" t="str">
        <f>Tabella2[[#This Row],[Amplitute RADIAL stress  (MPa)]]</f>
        <v>Null</v>
      </c>
      <c r="AA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3" s="8">
        <f>IF( AND(ISNUMBER(Tabella2[[#This Row],[Mean AXIAL stress  (MPa)]]), ISNUMBER(Tabella2[[#This Row],[Area (mm^2)]])), Tabella2[[#This Row],[Mean AXIAL stress  (MPa)]]*Tabella2[[#This Row],[Area (mm^2)]], "Null")</f>
        <v>3096</v>
      </c>
      <c r="AC63" s="8">
        <f>IF( AND(ISNUMBER(Tabella2[[#This Row],[Amplitute AXIAL stress  (MPa)]]), ISNUMBER(Tabella2[[#This Row],[Area (mm^2)]])), Tabella2[[#This Row],[Amplitute AXIAL stress  (MPa)]]*Tabella2[[#This Row],[Area (mm^2)]],"Null")</f>
        <v>3096</v>
      </c>
      <c r="AD63" s="8">
        <f>IF( AND(ISNUMBER(Tabella2[[#This Row],[Amplitude AXIAL force (N)]]), ISNUMBER(Tabella2[[#This Row],[Mean AXIAL force (N)]])), Tabella2[[#This Row],[Amplitude AXIAL force (N)]]+Tabella2[[#This Row],[Mean AXIAL force (N)]],"Null")</f>
        <v>6192</v>
      </c>
      <c r="AE6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</v>
      </c>
      <c r="AI6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4" spans="1:35" x14ac:dyDescent="0.25">
      <c r="A64" s="1" t="s">
        <v>86</v>
      </c>
      <c r="B64" s="1">
        <v>2024</v>
      </c>
      <c r="C64" s="1" t="s">
        <v>55</v>
      </c>
      <c r="D64" s="1" t="s">
        <v>123</v>
      </c>
      <c r="E64" s="11">
        <v>2134445</v>
      </c>
      <c r="F64" s="1" t="s">
        <v>50</v>
      </c>
      <c r="G64" s="1" t="s">
        <v>43</v>
      </c>
      <c r="H64" s="1" t="e" vm="3">
        <v>#VALUE!</v>
      </c>
      <c r="I64" s="1" t="s">
        <v>109</v>
      </c>
      <c r="J64" s="1" t="s">
        <v>50</v>
      </c>
      <c r="K64" s="1" t="s">
        <v>35</v>
      </c>
      <c r="L64" s="8">
        <f t="shared" si="2"/>
        <v>24</v>
      </c>
      <c r="M64" s="8" t="s">
        <v>35</v>
      </c>
      <c r="N64" s="1" t="s">
        <v>35</v>
      </c>
      <c r="O64" s="1" t="s">
        <v>35</v>
      </c>
      <c r="P64" s="1" t="s">
        <v>35</v>
      </c>
      <c r="Q64" s="1">
        <v>0</v>
      </c>
      <c r="R64" s="1" t="s">
        <v>35</v>
      </c>
      <c r="S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4" s="1" t="s">
        <v>35</v>
      </c>
      <c r="U64" s="1">
        <f>IF(ISNUMBER(Tabella2[[#This Row],[Amplitute AXIAL stress  (MPa)]]), (1+Tabella2[[#This Row],[Load ratio (AXIAL)]])*Tabella2[[#This Row],[Amplitute AXIAL stress  (MPa)]]/(1-Tabella2[[#This Row],[Load ratio (AXIAL)]]), "Null")</f>
        <v>121</v>
      </c>
      <c r="V64" s="7">
        <v>121</v>
      </c>
      <c r="W6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4" s="1" t="s">
        <v>35</v>
      </c>
      <c r="Y64" s="7" t="str">
        <f>Tabella2[[#This Row],[Mean RADIAL stress  (MPa)]]</f>
        <v>Null</v>
      </c>
      <c r="Z64" s="7" t="str">
        <f>Tabella2[[#This Row],[Amplitute RADIAL stress  (MPa)]]</f>
        <v>Null</v>
      </c>
      <c r="AA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4" s="8">
        <f>IF( AND(ISNUMBER(Tabella2[[#This Row],[Mean AXIAL stress  (MPa)]]), ISNUMBER(Tabella2[[#This Row],[Area (mm^2)]])), Tabella2[[#This Row],[Mean AXIAL stress  (MPa)]]*Tabella2[[#This Row],[Area (mm^2)]], "Null")</f>
        <v>2904</v>
      </c>
      <c r="AC64" s="8">
        <f>IF( AND(ISNUMBER(Tabella2[[#This Row],[Amplitute AXIAL stress  (MPa)]]), ISNUMBER(Tabella2[[#This Row],[Area (mm^2)]])), Tabella2[[#This Row],[Amplitute AXIAL stress  (MPa)]]*Tabella2[[#This Row],[Area (mm^2)]],"Null")</f>
        <v>2904</v>
      </c>
      <c r="AD64" s="8">
        <f>IF( AND(ISNUMBER(Tabella2[[#This Row],[Amplitude AXIAL force (N)]]), ISNUMBER(Tabella2[[#This Row],[Mean AXIAL force (N)]])), Tabella2[[#This Row],[Amplitude AXIAL force (N)]]+Tabella2[[#This Row],[Mean AXIAL force (N)]],"Null")</f>
        <v>5808</v>
      </c>
      <c r="AE6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</v>
      </c>
      <c r="AI6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5" spans="1:35" x14ac:dyDescent="0.25">
      <c r="A65" s="1" t="s">
        <v>86</v>
      </c>
      <c r="B65" s="1">
        <v>2024</v>
      </c>
      <c r="C65" s="1" t="s">
        <v>55</v>
      </c>
      <c r="D65" s="1" t="s">
        <v>124</v>
      </c>
      <c r="E65" s="11">
        <v>2366590</v>
      </c>
      <c r="F65" s="1" t="s">
        <v>50</v>
      </c>
      <c r="G65" s="1" t="s">
        <v>43</v>
      </c>
      <c r="H65" s="1" t="e" vm="3">
        <v>#VALUE!</v>
      </c>
      <c r="I65" s="1" t="s">
        <v>109</v>
      </c>
      <c r="J65" s="1" t="s">
        <v>50</v>
      </c>
      <c r="K65" s="1" t="s">
        <v>35</v>
      </c>
      <c r="L65" s="8">
        <f t="shared" si="2"/>
        <v>24</v>
      </c>
      <c r="M65" s="8" t="s">
        <v>35</v>
      </c>
      <c r="N65" s="1" t="s">
        <v>35</v>
      </c>
      <c r="O65" s="1" t="s">
        <v>35</v>
      </c>
      <c r="P65" s="1" t="s">
        <v>35</v>
      </c>
      <c r="Q65" s="1">
        <v>0</v>
      </c>
      <c r="R65" s="1" t="s">
        <v>35</v>
      </c>
      <c r="S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5" s="1" t="s">
        <v>35</v>
      </c>
      <c r="U65" s="1">
        <f>IF(ISNUMBER(Tabella2[[#This Row],[Amplitute AXIAL stress  (MPa)]]), (1+Tabella2[[#This Row],[Load ratio (AXIAL)]])*Tabella2[[#This Row],[Amplitute AXIAL stress  (MPa)]]/(1-Tabella2[[#This Row],[Load ratio (AXIAL)]]), "Null")</f>
        <v>137.5</v>
      </c>
      <c r="V65" s="7">
        <v>137.5</v>
      </c>
      <c r="W6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5" s="1" t="s">
        <v>35</v>
      </c>
      <c r="Y65" s="7" t="str">
        <f>Tabella2[[#This Row],[Mean RADIAL stress  (MPa)]]</f>
        <v>Null</v>
      </c>
      <c r="Z65" s="7" t="str">
        <f>Tabella2[[#This Row],[Amplitute RADIAL stress  (MPa)]]</f>
        <v>Null</v>
      </c>
      <c r="AA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5" s="8">
        <f>IF( AND(ISNUMBER(Tabella2[[#This Row],[Mean AXIAL stress  (MPa)]]), ISNUMBER(Tabella2[[#This Row],[Area (mm^2)]])), Tabella2[[#This Row],[Mean AXIAL stress  (MPa)]]*Tabella2[[#This Row],[Area (mm^2)]], "Null")</f>
        <v>3300</v>
      </c>
      <c r="AC65" s="8">
        <f>IF( AND(ISNUMBER(Tabella2[[#This Row],[Amplitute AXIAL stress  (MPa)]]), ISNUMBER(Tabella2[[#This Row],[Area (mm^2)]])), Tabella2[[#This Row],[Amplitute AXIAL stress  (MPa)]]*Tabella2[[#This Row],[Area (mm^2)]],"Null")</f>
        <v>3300</v>
      </c>
      <c r="AD65" s="8">
        <f>IF( AND(ISNUMBER(Tabella2[[#This Row],[Amplitude AXIAL force (N)]]), ISNUMBER(Tabella2[[#This Row],[Mean AXIAL force (N)]])), Tabella2[[#This Row],[Amplitude AXIAL force (N)]]+Tabella2[[#This Row],[Mean AXIAL force (N)]],"Null")</f>
        <v>6600</v>
      </c>
      <c r="AE6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  <c r="AI6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6" spans="1:35" x14ac:dyDescent="0.25">
      <c r="A66" s="1" t="s">
        <v>86</v>
      </c>
      <c r="B66" s="1">
        <v>2024</v>
      </c>
      <c r="C66" s="1" t="s">
        <v>55</v>
      </c>
      <c r="D66" s="1" t="s">
        <v>125</v>
      </c>
      <c r="E66" s="11">
        <v>2400000</v>
      </c>
      <c r="F66" s="1" t="s">
        <v>50</v>
      </c>
      <c r="G66" s="1" t="s">
        <v>43</v>
      </c>
      <c r="H66" s="1" t="e" vm="3">
        <v>#VALUE!</v>
      </c>
      <c r="I66" s="1" t="s">
        <v>109</v>
      </c>
      <c r="J66" s="1" t="s">
        <v>50</v>
      </c>
      <c r="K66" s="1" t="s">
        <v>35</v>
      </c>
      <c r="L66" s="8">
        <f t="shared" si="2"/>
        <v>24</v>
      </c>
      <c r="M66" s="8" t="s">
        <v>35</v>
      </c>
      <c r="N66" s="1" t="s">
        <v>35</v>
      </c>
      <c r="O66" s="1" t="s">
        <v>35</v>
      </c>
      <c r="P66" s="1" t="s">
        <v>35</v>
      </c>
      <c r="Q66" s="1">
        <v>0</v>
      </c>
      <c r="R66" s="1" t="s">
        <v>35</v>
      </c>
      <c r="S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6" s="1" t="s">
        <v>35</v>
      </c>
      <c r="U66" s="1">
        <f>IF(ISNUMBER(Tabella2[[#This Row],[Amplitute AXIAL stress  (MPa)]]), (1+Tabella2[[#This Row],[Load ratio (AXIAL)]])*Tabella2[[#This Row],[Amplitute AXIAL stress  (MPa)]]/(1-Tabella2[[#This Row],[Load ratio (AXIAL)]]), "Null")</f>
        <v>133.5</v>
      </c>
      <c r="V66" s="7">
        <v>133.5</v>
      </c>
      <c r="W6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6" s="1" t="s">
        <v>35</v>
      </c>
      <c r="Y66" s="7" t="str">
        <f>Tabella2[[#This Row],[Mean RADIAL stress  (MPa)]]</f>
        <v>Null</v>
      </c>
      <c r="Z66" s="7" t="str">
        <f>Tabella2[[#This Row],[Amplitute RADIAL stress  (MPa)]]</f>
        <v>Null</v>
      </c>
      <c r="AA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6" s="8">
        <f>IF( AND(ISNUMBER(Tabella2[[#This Row],[Mean AXIAL stress  (MPa)]]), ISNUMBER(Tabella2[[#This Row],[Area (mm^2)]])), Tabella2[[#This Row],[Mean AXIAL stress  (MPa)]]*Tabella2[[#This Row],[Area (mm^2)]], "Null")</f>
        <v>3204</v>
      </c>
      <c r="AC66" s="8">
        <f>IF( AND(ISNUMBER(Tabella2[[#This Row],[Amplitute AXIAL stress  (MPa)]]), ISNUMBER(Tabella2[[#This Row],[Area (mm^2)]])), Tabella2[[#This Row],[Amplitute AXIAL stress  (MPa)]]*Tabella2[[#This Row],[Area (mm^2)]],"Null")</f>
        <v>3204</v>
      </c>
      <c r="AD66" s="8">
        <f>IF( AND(ISNUMBER(Tabella2[[#This Row],[Amplitude AXIAL force (N)]]), ISNUMBER(Tabella2[[#This Row],[Mean AXIAL force (N)]])), Tabella2[[#This Row],[Amplitude AXIAL force (N)]]+Tabella2[[#This Row],[Mean AXIAL force (N)]],"Null")</f>
        <v>6408</v>
      </c>
      <c r="AE6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133.5</v>
      </c>
      <c r="AI6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7" spans="1:35" x14ac:dyDescent="0.25">
      <c r="A67" s="1" t="s">
        <v>86</v>
      </c>
      <c r="B67" s="1">
        <v>2024</v>
      </c>
      <c r="C67" s="1" t="s">
        <v>55</v>
      </c>
      <c r="D67" s="1" t="s">
        <v>126</v>
      </c>
      <c r="E67" s="11">
        <v>2596329</v>
      </c>
      <c r="F67" s="1" t="s">
        <v>50</v>
      </c>
      <c r="G67" s="1" t="s">
        <v>43</v>
      </c>
      <c r="H67" s="1" t="e" vm="3">
        <v>#VALUE!</v>
      </c>
      <c r="I67" s="1" t="s">
        <v>109</v>
      </c>
      <c r="J67" s="1" t="s">
        <v>50</v>
      </c>
      <c r="K67" s="1" t="s">
        <v>35</v>
      </c>
      <c r="L67" s="8">
        <f t="shared" si="2"/>
        <v>24</v>
      </c>
      <c r="M67" s="8" t="s">
        <v>35</v>
      </c>
      <c r="N67" s="1" t="s">
        <v>35</v>
      </c>
      <c r="O67" s="1" t="s">
        <v>35</v>
      </c>
      <c r="P67" s="1" t="s">
        <v>35</v>
      </c>
      <c r="Q67" s="1">
        <v>0</v>
      </c>
      <c r="R67" s="1" t="s">
        <v>35</v>
      </c>
      <c r="S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7" s="1" t="s">
        <v>35</v>
      </c>
      <c r="U67" s="1">
        <f>IF(ISNUMBER(Tabella2[[#This Row],[Amplitute AXIAL stress  (MPa)]]), (1+Tabella2[[#This Row],[Load ratio (AXIAL)]])*Tabella2[[#This Row],[Amplitute AXIAL stress  (MPa)]]/(1-Tabella2[[#This Row],[Load ratio (AXIAL)]]), "Null")</f>
        <v>129</v>
      </c>
      <c r="V67" s="7">
        <v>129</v>
      </c>
      <c r="W6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7" s="1" t="s">
        <v>35</v>
      </c>
      <c r="Y67" s="7" t="str">
        <f>Tabella2[[#This Row],[Mean RADIAL stress  (MPa)]]</f>
        <v>Null</v>
      </c>
      <c r="Z67" s="7" t="str">
        <f>Tabella2[[#This Row],[Amplitute RADIAL stress  (MPa)]]</f>
        <v>Null</v>
      </c>
      <c r="AA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7" s="8">
        <f>IF( AND(ISNUMBER(Tabella2[[#This Row],[Mean AXIAL stress  (MPa)]]), ISNUMBER(Tabella2[[#This Row],[Area (mm^2)]])), Tabella2[[#This Row],[Mean AXIAL stress  (MPa)]]*Tabella2[[#This Row],[Area (mm^2)]], "Null")</f>
        <v>3096</v>
      </c>
      <c r="AC67" s="8">
        <f>IF( AND(ISNUMBER(Tabella2[[#This Row],[Amplitute AXIAL stress  (MPa)]]), ISNUMBER(Tabella2[[#This Row],[Area (mm^2)]])), Tabella2[[#This Row],[Amplitute AXIAL stress  (MPa)]]*Tabella2[[#This Row],[Area (mm^2)]],"Null")</f>
        <v>3096</v>
      </c>
      <c r="AD67" s="8">
        <f>IF( AND(ISNUMBER(Tabella2[[#This Row],[Amplitude AXIAL force (N)]]), ISNUMBER(Tabella2[[#This Row],[Mean AXIAL force (N)]])), Tabella2[[#This Row],[Amplitude AXIAL force (N)]]+Tabella2[[#This Row],[Mean AXIAL force (N)]],"Null")</f>
        <v>6192</v>
      </c>
      <c r="AE6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</v>
      </c>
      <c r="AI6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8" spans="1:35" x14ac:dyDescent="0.25">
      <c r="A68" s="1" t="s">
        <v>86</v>
      </c>
      <c r="B68" s="1">
        <v>2024</v>
      </c>
      <c r="C68" s="1" t="s">
        <v>55</v>
      </c>
      <c r="D68" s="1" t="s">
        <v>127</v>
      </c>
      <c r="E68" s="11">
        <v>2676338</v>
      </c>
      <c r="F68" s="1" t="s">
        <v>50</v>
      </c>
      <c r="G68" s="1" t="s">
        <v>43</v>
      </c>
      <c r="H68" s="1" t="e" vm="3">
        <v>#VALUE!</v>
      </c>
      <c r="I68" s="1" t="s">
        <v>109</v>
      </c>
      <c r="J68" s="1" t="s">
        <v>50</v>
      </c>
      <c r="K68" s="1" t="s">
        <v>35</v>
      </c>
      <c r="L68" s="8">
        <f t="shared" si="2"/>
        <v>24</v>
      </c>
      <c r="M68" s="8" t="s">
        <v>35</v>
      </c>
      <c r="N68" s="1" t="s">
        <v>35</v>
      </c>
      <c r="O68" s="1" t="s">
        <v>35</v>
      </c>
      <c r="P68" s="1" t="s">
        <v>35</v>
      </c>
      <c r="Q68" s="1">
        <v>0</v>
      </c>
      <c r="R68" s="1" t="s">
        <v>35</v>
      </c>
      <c r="S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8" s="1" t="s">
        <v>35</v>
      </c>
      <c r="U68" s="1">
        <f>IF(ISNUMBER(Tabella2[[#This Row],[Amplitute AXIAL stress  (MPa)]]), (1+Tabella2[[#This Row],[Load ratio (AXIAL)]])*Tabella2[[#This Row],[Amplitute AXIAL stress  (MPa)]]/(1-Tabella2[[#This Row],[Load ratio (AXIAL)]]), "Null")</f>
        <v>125</v>
      </c>
      <c r="V68" s="7">
        <v>125</v>
      </c>
      <c r="W6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8" s="1" t="s">
        <v>35</v>
      </c>
      <c r="Y68" s="7" t="str">
        <f>Tabella2[[#This Row],[Mean RADIAL stress  (MPa)]]</f>
        <v>Null</v>
      </c>
      <c r="Z68" s="7" t="str">
        <f>Tabella2[[#This Row],[Amplitute RADIAL stress  (MPa)]]</f>
        <v>Null</v>
      </c>
      <c r="AA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8" s="8">
        <f>IF( AND(ISNUMBER(Tabella2[[#This Row],[Mean AXIAL stress  (MPa)]]), ISNUMBER(Tabella2[[#This Row],[Area (mm^2)]])), Tabella2[[#This Row],[Mean AXIAL stress  (MPa)]]*Tabella2[[#This Row],[Area (mm^2)]], "Null")</f>
        <v>3000</v>
      </c>
      <c r="AC68" s="8">
        <f>IF( AND(ISNUMBER(Tabella2[[#This Row],[Amplitute AXIAL stress  (MPa)]]), ISNUMBER(Tabella2[[#This Row],[Area (mm^2)]])), Tabella2[[#This Row],[Amplitute AXIAL stress  (MPa)]]*Tabella2[[#This Row],[Area (mm^2)]],"Null")</f>
        <v>3000</v>
      </c>
      <c r="AD68" s="8">
        <f>IF( AND(ISNUMBER(Tabella2[[#This Row],[Amplitude AXIAL force (N)]]), ISNUMBER(Tabella2[[#This Row],[Mean AXIAL force (N)]])), Tabella2[[#This Row],[Amplitude AXIAL force (N)]]+Tabella2[[#This Row],[Mean AXIAL force (N)]],"Null")</f>
        <v>6000</v>
      </c>
      <c r="AE6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6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9" spans="1:35" ht="13.5" customHeight="1" x14ac:dyDescent="0.25">
      <c r="A69" s="1" t="s">
        <v>86</v>
      </c>
      <c r="B69" s="1">
        <v>2024</v>
      </c>
      <c r="C69" s="1" t="s">
        <v>55</v>
      </c>
      <c r="D69" s="1" t="s">
        <v>128</v>
      </c>
      <c r="E69" s="11">
        <v>3456187</v>
      </c>
      <c r="F69" s="1" t="s">
        <v>50</v>
      </c>
      <c r="G69" s="1" t="s">
        <v>43</v>
      </c>
      <c r="H69" s="1" t="e" vm="3">
        <v>#VALUE!</v>
      </c>
      <c r="I69" s="1" t="s">
        <v>109</v>
      </c>
      <c r="J69" s="1" t="s">
        <v>50</v>
      </c>
      <c r="K69" s="1" t="s">
        <v>35</v>
      </c>
      <c r="L69" s="8">
        <f t="shared" si="2"/>
        <v>24</v>
      </c>
      <c r="M69" s="8" t="s">
        <v>35</v>
      </c>
      <c r="N69" s="1" t="s">
        <v>35</v>
      </c>
      <c r="O69" s="1" t="s">
        <v>35</v>
      </c>
      <c r="P69" s="1" t="s">
        <v>35</v>
      </c>
      <c r="Q69" s="1">
        <v>0</v>
      </c>
      <c r="R69" s="1" t="s">
        <v>35</v>
      </c>
      <c r="S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9" s="1" t="s">
        <v>35</v>
      </c>
      <c r="U69" s="1">
        <f>IF(ISNUMBER(Tabella2[[#This Row],[Amplitute AXIAL stress  (MPa)]]), (1+Tabella2[[#This Row],[Load ratio (AXIAL)]])*Tabella2[[#This Row],[Amplitute AXIAL stress  (MPa)]]/(1-Tabella2[[#This Row],[Load ratio (AXIAL)]]), "Null")</f>
        <v>125</v>
      </c>
      <c r="V69" s="7">
        <v>125</v>
      </c>
      <c r="W6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9" s="1" t="s">
        <v>35</v>
      </c>
      <c r="Y69" s="7" t="str">
        <f>Tabella2[[#This Row],[Mean RADIAL stress  (MPa)]]</f>
        <v>Null</v>
      </c>
      <c r="Z69" s="7" t="str">
        <f>Tabella2[[#This Row],[Amplitute RADIAL stress  (MPa)]]</f>
        <v>Null</v>
      </c>
      <c r="AA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9" s="8">
        <f>IF( AND(ISNUMBER(Tabella2[[#This Row],[Mean AXIAL stress  (MPa)]]), ISNUMBER(Tabella2[[#This Row],[Area (mm^2)]])), Tabella2[[#This Row],[Mean AXIAL stress  (MPa)]]*Tabella2[[#This Row],[Area (mm^2)]], "Null")</f>
        <v>3000</v>
      </c>
      <c r="AC69" s="8">
        <f>IF( AND(ISNUMBER(Tabella2[[#This Row],[Amplitute AXIAL stress  (MPa)]]), ISNUMBER(Tabella2[[#This Row],[Area (mm^2)]])), Tabella2[[#This Row],[Amplitute AXIAL stress  (MPa)]]*Tabella2[[#This Row],[Area (mm^2)]],"Null")</f>
        <v>3000</v>
      </c>
      <c r="AD69" s="8">
        <f>IF( AND(ISNUMBER(Tabella2[[#This Row],[Amplitude AXIAL force (N)]]), ISNUMBER(Tabella2[[#This Row],[Mean AXIAL force (N)]])), Tabella2[[#This Row],[Amplitude AXIAL force (N)]]+Tabella2[[#This Row],[Mean AXIAL force (N)]],"Null")</f>
        <v>6000</v>
      </c>
      <c r="AE6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6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6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0" spans="1:35" x14ac:dyDescent="0.25">
      <c r="A70" s="1" t="s">
        <v>86</v>
      </c>
      <c r="B70" s="1">
        <v>2024</v>
      </c>
      <c r="C70" s="1" t="s">
        <v>55</v>
      </c>
      <c r="D70" s="1" t="s">
        <v>129</v>
      </c>
      <c r="E70" s="11">
        <v>3955089</v>
      </c>
      <c r="F70" s="1" t="s">
        <v>50</v>
      </c>
      <c r="G70" s="1" t="s">
        <v>43</v>
      </c>
      <c r="H70" s="1" t="e" vm="3">
        <v>#VALUE!</v>
      </c>
      <c r="I70" s="1" t="s">
        <v>109</v>
      </c>
      <c r="J70" s="1" t="s">
        <v>50</v>
      </c>
      <c r="K70" s="1" t="s">
        <v>35</v>
      </c>
      <c r="L70" s="8">
        <f t="shared" si="2"/>
        <v>24</v>
      </c>
      <c r="M70" s="8" t="s">
        <v>35</v>
      </c>
      <c r="N70" s="1" t="s">
        <v>35</v>
      </c>
      <c r="O70" s="1" t="s">
        <v>35</v>
      </c>
      <c r="P70" s="1" t="s">
        <v>35</v>
      </c>
      <c r="Q70" s="1">
        <v>0</v>
      </c>
      <c r="R70" s="1" t="s">
        <v>35</v>
      </c>
      <c r="S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0" s="1" t="s">
        <v>35</v>
      </c>
      <c r="U70" s="1">
        <f>IF(ISNUMBER(Tabella2[[#This Row],[Amplitute AXIAL stress  (MPa)]]), (1+Tabella2[[#This Row],[Load ratio (AXIAL)]])*Tabella2[[#This Row],[Amplitute AXIAL stress  (MPa)]]/(1-Tabella2[[#This Row],[Load ratio (AXIAL)]]), "Null")</f>
        <v>137.5</v>
      </c>
      <c r="V70" s="7">
        <v>137.5</v>
      </c>
      <c r="W7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0" s="1" t="s">
        <v>35</v>
      </c>
      <c r="Y70" s="7" t="str">
        <f>Tabella2[[#This Row],[Mean RADIAL stress  (MPa)]]</f>
        <v>Null</v>
      </c>
      <c r="Z70" s="7" t="str">
        <f>Tabella2[[#This Row],[Amplitute RADIAL stress  (MPa)]]</f>
        <v>Null</v>
      </c>
      <c r="AA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0" s="8">
        <f>IF( AND(ISNUMBER(Tabella2[[#This Row],[Mean AXIAL stress  (MPa)]]), ISNUMBER(Tabella2[[#This Row],[Area (mm^2)]])), Tabella2[[#This Row],[Mean AXIAL stress  (MPa)]]*Tabella2[[#This Row],[Area (mm^2)]], "Null")</f>
        <v>3300</v>
      </c>
      <c r="AC70" s="8">
        <f>IF( AND(ISNUMBER(Tabella2[[#This Row],[Amplitute AXIAL stress  (MPa)]]), ISNUMBER(Tabella2[[#This Row],[Area (mm^2)]])), Tabella2[[#This Row],[Amplitute AXIAL stress  (MPa)]]*Tabella2[[#This Row],[Area (mm^2)]],"Null")</f>
        <v>3300</v>
      </c>
      <c r="AD70" s="8">
        <f>IF( AND(ISNUMBER(Tabella2[[#This Row],[Amplitude AXIAL force (N)]]), ISNUMBER(Tabella2[[#This Row],[Mean AXIAL force (N)]])), Tabella2[[#This Row],[Amplitude AXIAL force (N)]]+Tabella2[[#This Row],[Mean AXIAL force (N)]],"Null")</f>
        <v>6600</v>
      </c>
      <c r="AE7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  <c r="AI7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1" spans="1:35" x14ac:dyDescent="0.25">
      <c r="A71" s="1" t="s">
        <v>86</v>
      </c>
      <c r="B71" s="1">
        <v>2024</v>
      </c>
      <c r="C71" s="1" t="s">
        <v>55</v>
      </c>
      <c r="D71" s="1" t="s">
        <v>130</v>
      </c>
      <c r="E71" s="1">
        <v>69975.614335337901</v>
      </c>
      <c r="F71" s="1" t="s">
        <v>34</v>
      </c>
      <c r="G71" s="1" t="s">
        <v>43</v>
      </c>
      <c r="H71" s="1" t="e" vm="4">
        <v>#VALUE!</v>
      </c>
      <c r="I71" s="1" t="s">
        <v>45</v>
      </c>
      <c r="J71" s="1" t="s">
        <v>34</v>
      </c>
      <c r="K71" s="1">
        <v>4</v>
      </c>
      <c r="L71" s="8">
        <f>PI()*(Tabella2[[#This Row],[Diameter (mm)]]/2)^2</f>
        <v>12.566370614359172</v>
      </c>
      <c r="M71" s="8" t="s">
        <v>35</v>
      </c>
      <c r="N71" s="1" t="s">
        <v>35</v>
      </c>
      <c r="O71" s="1" t="s">
        <v>35</v>
      </c>
      <c r="P71" s="1" t="s">
        <v>35</v>
      </c>
      <c r="Q71" s="1">
        <v>0</v>
      </c>
      <c r="R71" s="1" t="s">
        <v>35</v>
      </c>
      <c r="S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1" s="1" t="s">
        <v>35</v>
      </c>
      <c r="U71" s="1">
        <f>IF(ISNUMBER(Tabella2[[#This Row],[Amplitute AXIAL stress  (MPa)]]), (1+Tabella2[[#This Row],[Load ratio (AXIAL)]])*Tabella2[[#This Row],[Amplitute AXIAL stress  (MPa)]]/(1-Tabella2[[#This Row],[Load ratio (AXIAL)]]), "Null")</f>
        <v>255.717949373556</v>
      </c>
      <c r="V71" s="7">
        <v>255.717949373556</v>
      </c>
      <c r="W7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1" s="1" t="s">
        <v>35</v>
      </c>
      <c r="Y71" s="7" t="str">
        <f>Tabella2[[#This Row],[Mean RADIAL stress  (MPa)]]</f>
        <v>Null</v>
      </c>
      <c r="Z71" s="7" t="str">
        <f>Tabella2[[#This Row],[Amplitute RADIAL stress  (MPa)]]</f>
        <v>Null</v>
      </c>
      <c r="AA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1" s="8">
        <f>IF( AND(ISNUMBER(Tabella2[[#This Row],[Mean AXIAL stress  (MPa)]]), ISNUMBER(Tabella2[[#This Row],[Area (mm^2)]])), Tabella2[[#This Row],[Mean AXIAL stress  (MPa)]]*Tabella2[[#This Row],[Area (mm^2)]], "Null")</f>
        <v>3213.4465245720407</v>
      </c>
      <c r="AC71" s="8">
        <f>IF( AND(ISNUMBER(Tabella2[[#This Row],[Amplitute AXIAL stress  (MPa)]]), ISNUMBER(Tabella2[[#This Row],[Area (mm^2)]])), Tabella2[[#This Row],[Amplitute AXIAL stress  (MPa)]]*Tabella2[[#This Row],[Area (mm^2)]],"Null")</f>
        <v>3213.4465245720407</v>
      </c>
      <c r="AD71" s="8">
        <f>IF( AND(ISNUMBER(Tabella2[[#This Row],[Amplitude AXIAL force (N)]]), ISNUMBER(Tabella2[[#This Row],[Mean AXIAL force (N)]])), Tabella2[[#This Row],[Amplitude AXIAL force (N)]]+Tabella2[[#This Row],[Mean AXIAL force (N)]],"Null")</f>
        <v>6426.8930491440815</v>
      </c>
      <c r="AE7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255.717949373556</v>
      </c>
      <c r="AI7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2" spans="1:35" x14ac:dyDescent="0.25">
      <c r="A72" s="1" t="s">
        <v>86</v>
      </c>
      <c r="B72" s="1">
        <v>2024</v>
      </c>
      <c r="C72" s="1" t="s">
        <v>55</v>
      </c>
      <c r="D72" s="1" t="s">
        <v>131</v>
      </c>
      <c r="E72" s="1">
        <v>98291.938165044907</v>
      </c>
      <c r="F72" s="1" t="s">
        <v>34</v>
      </c>
      <c r="G72" s="1" t="s">
        <v>43</v>
      </c>
      <c r="H72" s="1" t="e" vm="4">
        <v>#VALUE!</v>
      </c>
      <c r="I72" s="1" t="s">
        <v>45</v>
      </c>
      <c r="J72" s="1" t="s">
        <v>34</v>
      </c>
      <c r="K72" s="1">
        <v>4</v>
      </c>
      <c r="L72" s="8">
        <f>PI()*(Tabella2[[#This Row],[Diameter (mm)]]/2)^2</f>
        <v>12.566370614359172</v>
      </c>
      <c r="M72" s="8" t="s">
        <v>35</v>
      </c>
      <c r="N72" s="1" t="s">
        <v>35</v>
      </c>
      <c r="O72" s="1" t="s">
        <v>35</v>
      </c>
      <c r="P72" s="1" t="s">
        <v>35</v>
      </c>
      <c r="Q72" s="1">
        <v>0</v>
      </c>
      <c r="R72" s="1" t="s">
        <v>35</v>
      </c>
      <c r="S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2" s="1" t="s">
        <v>35</v>
      </c>
      <c r="U72" s="1">
        <f>IF(ISNUMBER(Tabella2[[#This Row],[Amplitute AXIAL stress  (MPa)]]), (1+Tabella2[[#This Row],[Load ratio (AXIAL)]])*Tabella2[[#This Row],[Amplitute AXIAL stress  (MPa)]]/(1-Tabella2[[#This Row],[Load ratio (AXIAL)]]), "Null")</f>
        <v>240.04280092058249</v>
      </c>
      <c r="V72" s="7">
        <v>240.04280092058249</v>
      </c>
      <c r="W7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2" s="1" t="s">
        <v>35</v>
      </c>
      <c r="Y72" s="7" t="str">
        <f>Tabella2[[#This Row],[Mean RADIAL stress  (MPa)]]</f>
        <v>Null</v>
      </c>
      <c r="Z72" s="7" t="str">
        <f>Tabella2[[#This Row],[Amplitute RADIAL stress  (MPa)]]</f>
        <v>Null</v>
      </c>
      <c r="AA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2" s="8">
        <f>IF( AND(ISNUMBER(Tabella2[[#This Row],[Mean AXIAL stress  (MPa)]]), ISNUMBER(Tabella2[[#This Row],[Area (mm^2)]])), Tabella2[[#This Row],[Mean AXIAL stress  (MPa)]]*Tabella2[[#This Row],[Area (mm^2)]], "Null")</f>
        <v>3016.4667996768767</v>
      </c>
      <c r="AC72" s="8">
        <f>IF( AND(ISNUMBER(Tabella2[[#This Row],[Amplitute AXIAL stress  (MPa)]]), ISNUMBER(Tabella2[[#This Row],[Area (mm^2)]])), Tabella2[[#This Row],[Amplitute AXIAL stress  (MPa)]]*Tabella2[[#This Row],[Area (mm^2)]],"Null")</f>
        <v>3016.4667996768767</v>
      </c>
      <c r="AD72" s="8">
        <f>IF( AND(ISNUMBER(Tabella2[[#This Row],[Amplitude AXIAL force (N)]]), ISNUMBER(Tabella2[[#This Row],[Mean AXIAL force (N)]])), Tabella2[[#This Row],[Amplitude AXIAL force (N)]]+Tabella2[[#This Row],[Mean AXIAL force (N)]],"Null")</f>
        <v>6032.9335993537534</v>
      </c>
      <c r="AE7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240.04280092058249</v>
      </c>
      <c r="AI7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3" spans="1:35" x14ac:dyDescent="0.25">
      <c r="A73" s="1" t="s">
        <v>86</v>
      </c>
      <c r="B73" s="1">
        <v>2024</v>
      </c>
      <c r="C73" s="1" t="s">
        <v>55</v>
      </c>
      <c r="D73" s="1" t="s">
        <v>132</v>
      </c>
      <c r="E73" s="1">
        <v>115022.54352295501</v>
      </c>
      <c r="F73" s="1" t="s">
        <v>34</v>
      </c>
      <c r="G73" s="1" t="s">
        <v>43</v>
      </c>
      <c r="H73" s="1" t="e" vm="4">
        <v>#VALUE!</v>
      </c>
      <c r="I73" s="1" t="s">
        <v>45</v>
      </c>
      <c r="J73" s="1" t="s">
        <v>34</v>
      </c>
      <c r="K73" s="1">
        <v>4</v>
      </c>
      <c r="L73" s="8">
        <f>PI()*(Tabella2[[#This Row],[Diameter (mm)]]/2)^2</f>
        <v>12.566370614359172</v>
      </c>
      <c r="M73" s="8" t="s">
        <v>35</v>
      </c>
      <c r="N73" s="1" t="s">
        <v>35</v>
      </c>
      <c r="O73" s="1" t="s">
        <v>35</v>
      </c>
      <c r="P73" s="1" t="s">
        <v>35</v>
      </c>
      <c r="Q73" s="1">
        <v>0</v>
      </c>
      <c r="R73" s="1" t="s">
        <v>35</v>
      </c>
      <c r="S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3" s="1" t="s">
        <v>35</v>
      </c>
      <c r="U73" s="1">
        <f>IF(ISNUMBER(Tabella2[[#This Row],[Amplitute AXIAL stress  (MPa)]]), (1+Tabella2[[#This Row],[Load ratio (AXIAL)]])*Tabella2[[#This Row],[Amplitute AXIAL stress  (MPa)]]/(1-Tabella2[[#This Row],[Load ratio (AXIAL)]]), "Null")</f>
        <v>248.279407501717</v>
      </c>
      <c r="V73" s="7">
        <v>248.279407501717</v>
      </c>
      <c r="W7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3" s="1" t="s">
        <v>35</v>
      </c>
      <c r="Y73" s="7" t="str">
        <f>Tabella2[[#This Row],[Mean RADIAL stress  (MPa)]]</f>
        <v>Null</v>
      </c>
      <c r="Z73" s="7" t="str">
        <f>Tabella2[[#This Row],[Amplitute RADIAL stress  (MPa)]]</f>
        <v>Null</v>
      </c>
      <c r="AA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3" s="8">
        <f>IF( AND(ISNUMBER(Tabella2[[#This Row],[Mean AXIAL stress  (MPa)]]), ISNUMBER(Tabella2[[#This Row],[Area (mm^2)]])), Tabella2[[#This Row],[Mean AXIAL stress  (MPa)]]*Tabella2[[#This Row],[Area (mm^2)]], "Null")</f>
        <v>3119.9710505800826</v>
      </c>
      <c r="AC73" s="8">
        <f>IF( AND(ISNUMBER(Tabella2[[#This Row],[Amplitute AXIAL stress  (MPa)]]), ISNUMBER(Tabella2[[#This Row],[Area (mm^2)]])), Tabella2[[#This Row],[Amplitute AXIAL stress  (MPa)]]*Tabella2[[#This Row],[Area (mm^2)]],"Null")</f>
        <v>3119.9710505800826</v>
      </c>
      <c r="AD73" s="8">
        <f>IF( AND(ISNUMBER(Tabella2[[#This Row],[Amplitude AXIAL force (N)]]), ISNUMBER(Tabella2[[#This Row],[Mean AXIAL force (N)]])), Tabella2[[#This Row],[Amplitude AXIAL force (N)]]+Tabella2[[#This Row],[Mean AXIAL force (N)]],"Null")</f>
        <v>6239.9421011601653</v>
      </c>
      <c r="AE7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248.279407501717</v>
      </c>
      <c r="AI7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4" spans="1:35" x14ac:dyDescent="0.25">
      <c r="A74" s="1" t="s">
        <v>86</v>
      </c>
      <c r="B74" s="1">
        <v>2024</v>
      </c>
      <c r="C74" s="1" t="s">
        <v>55</v>
      </c>
      <c r="D74" s="1" t="s">
        <v>133</v>
      </c>
      <c r="E74" s="1">
        <v>138119.68453642901</v>
      </c>
      <c r="F74" s="1" t="s">
        <v>34</v>
      </c>
      <c r="G74" s="1" t="s">
        <v>43</v>
      </c>
      <c r="H74" s="1" t="e" vm="4">
        <v>#VALUE!</v>
      </c>
      <c r="I74" s="1" t="s">
        <v>45</v>
      </c>
      <c r="J74" s="1" t="s">
        <v>34</v>
      </c>
      <c r="K74" s="1">
        <v>4</v>
      </c>
      <c r="L74" s="8">
        <f>PI()*(Tabella2[[#This Row],[Diameter (mm)]]/2)^2</f>
        <v>12.566370614359172</v>
      </c>
      <c r="M74" s="8" t="s">
        <v>35</v>
      </c>
      <c r="N74" s="1" t="s">
        <v>35</v>
      </c>
      <c r="O74" s="1" t="s">
        <v>35</v>
      </c>
      <c r="P74" s="1" t="s">
        <v>35</v>
      </c>
      <c r="Q74" s="1">
        <v>0</v>
      </c>
      <c r="R74" s="1" t="s">
        <v>35</v>
      </c>
      <c r="S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4" s="1" t="s">
        <v>35</v>
      </c>
      <c r="U74" s="1">
        <f>IF(ISNUMBER(Tabella2[[#This Row],[Amplitute AXIAL stress  (MPa)]]), (1+Tabella2[[#This Row],[Load ratio (AXIAL)]])*Tabella2[[#This Row],[Amplitute AXIAL stress  (MPa)]]/(1-Tabella2[[#This Row],[Load ratio (AXIAL)]]), "Null")</f>
        <v>241.05724428188401</v>
      </c>
      <c r="V74" s="7">
        <v>241.05724428188401</v>
      </c>
      <c r="W7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4" s="1" t="s">
        <v>35</v>
      </c>
      <c r="Y74" s="7" t="str">
        <f>Tabella2[[#This Row],[Mean RADIAL stress  (MPa)]]</f>
        <v>Null</v>
      </c>
      <c r="Z74" s="7" t="str">
        <f>Tabella2[[#This Row],[Amplitute RADIAL stress  (MPa)]]</f>
        <v>Null</v>
      </c>
      <c r="AA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4" s="8">
        <f>IF( AND(ISNUMBER(Tabella2[[#This Row],[Mean AXIAL stress  (MPa)]]), ISNUMBER(Tabella2[[#This Row],[Area (mm^2)]])), Tabella2[[#This Row],[Mean AXIAL stress  (MPa)]]*Tabella2[[#This Row],[Area (mm^2)]], "Null")</f>
        <v>3029.2146709222679</v>
      </c>
      <c r="AC74" s="8">
        <f>IF( AND(ISNUMBER(Tabella2[[#This Row],[Amplitute AXIAL stress  (MPa)]]), ISNUMBER(Tabella2[[#This Row],[Area (mm^2)]])), Tabella2[[#This Row],[Amplitute AXIAL stress  (MPa)]]*Tabella2[[#This Row],[Area (mm^2)]],"Null")</f>
        <v>3029.2146709222679</v>
      </c>
      <c r="AD74" s="8">
        <f>IF( AND(ISNUMBER(Tabella2[[#This Row],[Amplitude AXIAL force (N)]]), ISNUMBER(Tabella2[[#This Row],[Mean AXIAL force (N)]])), Tabella2[[#This Row],[Amplitude AXIAL force (N)]]+Tabella2[[#This Row],[Mean AXIAL force (N)]],"Null")</f>
        <v>6058.4293418445359</v>
      </c>
      <c r="AE7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241.05724428188401</v>
      </c>
      <c r="AI7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5" spans="1:35" x14ac:dyDescent="0.25">
      <c r="A75" s="1" t="s">
        <v>86</v>
      </c>
      <c r="B75" s="1">
        <v>2024</v>
      </c>
      <c r="C75" s="1" t="s">
        <v>55</v>
      </c>
      <c r="D75" s="1" t="s">
        <v>134</v>
      </c>
      <c r="E75" s="1">
        <v>159528.700623432</v>
      </c>
      <c r="F75" s="1" t="s">
        <v>34</v>
      </c>
      <c r="G75" s="1" t="s">
        <v>43</v>
      </c>
      <c r="H75" s="1" t="e" vm="4">
        <v>#VALUE!</v>
      </c>
      <c r="I75" s="1" t="s">
        <v>45</v>
      </c>
      <c r="J75" s="1" t="s">
        <v>34</v>
      </c>
      <c r="K75" s="1">
        <v>4</v>
      </c>
      <c r="L75" s="8">
        <f>PI()*(Tabella2[[#This Row],[Diameter (mm)]]/2)^2</f>
        <v>12.566370614359172</v>
      </c>
      <c r="M75" s="8" t="s">
        <v>35</v>
      </c>
      <c r="N75" s="1" t="s">
        <v>35</v>
      </c>
      <c r="O75" s="1" t="s">
        <v>35</v>
      </c>
      <c r="P75" s="1" t="s">
        <v>35</v>
      </c>
      <c r="Q75" s="1">
        <v>0</v>
      </c>
      <c r="R75" s="1" t="s">
        <v>35</v>
      </c>
      <c r="S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5" s="1" t="s">
        <v>35</v>
      </c>
      <c r="U75" s="1">
        <f>IF(ISNUMBER(Tabella2[[#This Row],[Amplitute AXIAL stress  (MPa)]]), (1+Tabella2[[#This Row],[Load ratio (AXIAL)]])*Tabella2[[#This Row],[Amplitute AXIAL stress  (MPa)]]/(1-Tabella2[[#This Row],[Load ratio (AXIAL)]]), "Null")</f>
        <v>249.32865953394651</v>
      </c>
      <c r="V75" s="7">
        <v>249.32865953394651</v>
      </c>
      <c r="W7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5" s="1" t="s">
        <v>35</v>
      </c>
      <c r="Y75" s="7" t="str">
        <f>Tabella2[[#This Row],[Mean RADIAL stress  (MPa)]]</f>
        <v>Null</v>
      </c>
      <c r="Z75" s="7" t="str">
        <f>Tabella2[[#This Row],[Amplitute RADIAL stress  (MPa)]]</f>
        <v>Null</v>
      </c>
      <c r="AA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5" s="8">
        <f>IF( AND(ISNUMBER(Tabella2[[#This Row],[Mean AXIAL stress  (MPa)]]), ISNUMBER(Tabella2[[#This Row],[Area (mm^2)]])), Tabella2[[#This Row],[Mean AXIAL stress  (MPa)]]*Tabella2[[#This Row],[Area (mm^2)]], "Null")</f>
        <v>3133.1563404849485</v>
      </c>
      <c r="AC75" s="8">
        <f>IF( AND(ISNUMBER(Tabella2[[#This Row],[Amplitute AXIAL stress  (MPa)]]), ISNUMBER(Tabella2[[#This Row],[Area (mm^2)]])), Tabella2[[#This Row],[Amplitute AXIAL stress  (MPa)]]*Tabella2[[#This Row],[Area (mm^2)]],"Null")</f>
        <v>3133.1563404849485</v>
      </c>
      <c r="AD75" s="8">
        <f>IF( AND(ISNUMBER(Tabella2[[#This Row],[Amplitude AXIAL force (N)]]), ISNUMBER(Tabella2[[#This Row],[Mean AXIAL force (N)]])), Tabella2[[#This Row],[Amplitude AXIAL force (N)]]+Tabella2[[#This Row],[Mean AXIAL force (N)]],"Null")</f>
        <v>6266.312680969897</v>
      </c>
      <c r="AE7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249.32865953394651</v>
      </c>
      <c r="AI7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6" spans="1:35" x14ac:dyDescent="0.25">
      <c r="A76" s="1" t="s">
        <v>86</v>
      </c>
      <c r="B76" s="1">
        <v>2024</v>
      </c>
      <c r="C76" s="1" t="s">
        <v>55</v>
      </c>
      <c r="D76" s="1" t="s">
        <v>135</v>
      </c>
      <c r="E76" s="1">
        <v>184229.698075472</v>
      </c>
      <c r="F76" s="1" t="s">
        <v>34</v>
      </c>
      <c r="G76" s="1" t="s">
        <v>43</v>
      </c>
      <c r="H76" s="1" t="e" vm="4">
        <v>#VALUE!</v>
      </c>
      <c r="I76" s="1" t="s">
        <v>45</v>
      </c>
      <c r="J76" s="1" t="s">
        <v>34</v>
      </c>
      <c r="K76" s="1">
        <v>4</v>
      </c>
      <c r="L76" s="8">
        <f>PI()*(Tabella2[[#This Row],[Diameter (mm)]]/2)^2</f>
        <v>12.566370614359172</v>
      </c>
      <c r="M76" s="8" t="s">
        <v>35</v>
      </c>
      <c r="N76" s="1" t="s">
        <v>35</v>
      </c>
      <c r="O76" s="1" t="s">
        <v>35</v>
      </c>
      <c r="P76" s="1" t="s">
        <v>35</v>
      </c>
      <c r="Q76" s="1">
        <v>0</v>
      </c>
      <c r="R76" s="1" t="s">
        <v>35</v>
      </c>
      <c r="S7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6" s="1" t="s">
        <v>35</v>
      </c>
      <c r="U76" s="1">
        <f>IF(ISNUMBER(Tabella2[[#This Row],[Amplitute AXIAL stress  (MPa)]]), (1+Tabella2[[#This Row],[Load ratio (AXIAL)]])*Tabella2[[#This Row],[Amplitute AXIAL stress  (MPa)]]/(1-Tabella2[[#This Row],[Load ratio (AXIAL)]]), "Null")</f>
        <v>251.4404850500205</v>
      </c>
      <c r="V76" s="7">
        <v>251.4404850500205</v>
      </c>
      <c r="W7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6" s="1" t="s">
        <v>35</v>
      </c>
      <c r="Y76" s="7" t="str">
        <f>Tabella2[[#This Row],[Mean RADIAL stress  (MPa)]]</f>
        <v>Null</v>
      </c>
      <c r="Z76" s="7" t="str">
        <f>Tabella2[[#This Row],[Amplitute RADIAL stress  (MPa)]]</f>
        <v>Null</v>
      </c>
      <c r="AA7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6" s="8">
        <f>IF( AND(ISNUMBER(Tabella2[[#This Row],[Mean AXIAL stress  (MPa)]]), ISNUMBER(Tabella2[[#This Row],[Area (mm^2)]])), Tabella2[[#This Row],[Mean AXIAL stress  (MPa)]]*Tabella2[[#This Row],[Area (mm^2)]], "Null")</f>
        <v>3159.6943225927944</v>
      </c>
      <c r="AC76" s="8">
        <f>IF( AND(ISNUMBER(Tabella2[[#This Row],[Amplitute AXIAL stress  (MPa)]]), ISNUMBER(Tabella2[[#This Row],[Area (mm^2)]])), Tabella2[[#This Row],[Amplitute AXIAL stress  (MPa)]]*Tabella2[[#This Row],[Area (mm^2)]],"Null")</f>
        <v>3159.6943225927944</v>
      </c>
      <c r="AD76" s="8">
        <f>IF( AND(ISNUMBER(Tabella2[[#This Row],[Amplitude AXIAL force (N)]]), ISNUMBER(Tabella2[[#This Row],[Mean AXIAL force (N)]])), Tabella2[[#This Row],[Amplitude AXIAL force (N)]]+Tabella2[[#This Row],[Mean AXIAL force (N)]],"Null")</f>
        <v>6319.3886451855888</v>
      </c>
      <c r="AE7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251.4404850500205</v>
      </c>
      <c r="AI7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7" spans="1:35" x14ac:dyDescent="0.25">
      <c r="A77" s="1" t="s">
        <v>86</v>
      </c>
      <c r="B77" s="1">
        <v>2024</v>
      </c>
      <c r="C77" s="1" t="s">
        <v>55</v>
      </c>
      <c r="D77" s="1" t="s">
        <v>136</v>
      </c>
      <c r="E77" s="1">
        <v>172522.795562466</v>
      </c>
      <c r="F77" s="1" t="s">
        <v>34</v>
      </c>
      <c r="G77" s="1" t="s">
        <v>43</v>
      </c>
      <c r="H77" s="1" t="e" vm="4">
        <v>#VALUE!</v>
      </c>
      <c r="I77" s="1" t="s">
        <v>45</v>
      </c>
      <c r="J77" s="1" t="s">
        <v>34</v>
      </c>
      <c r="K77" s="1">
        <v>4</v>
      </c>
      <c r="L77" s="8">
        <f>PI()*(Tabella2[[#This Row],[Diameter (mm)]]/2)^2</f>
        <v>12.566370614359172</v>
      </c>
      <c r="M77" s="8" t="s">
        <v>35</v>
      </c>
      <c r="N77" s="1" t="s">
        <v>35</v>
      </c>
      <c r="O77" s="1" t="s">
        <v>35</v>
      </c>
      <c r="P77" s="1" t="s">
        <v>35</v>
      </c>
      <c r="Q77" s="1">
        <v>0</v>
      </c>
      <c r="R77" s="1" t="s">
        <v>35</v>
      </c>
      <c r="S7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7" s="1" t="s">
        <v>35</v>
      </c>
      <c r="U77" s="1">
        <f>IF(ISNUMBER(Tabella2[[#This Row],[Amplitute AXIAL stress  (MPa)]]), (1+Tabella2[[#This Row],[Load ratio (AXIAL)]])*Tabella2[[#This Row],[Amplitute AXIAL stress  (MPa)]]/(1-Tabella2[[#This Row],[Load ratio (AXIAL)]]), "Null")</f>
        <v>241.05724428188401</v>
      </c>
      <c r="V77" s="7">
        <v>241.05724428188401</v>
      </c>
      <c r="W7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7" s="1" t="s">
        <v>35</v>
      </c>
      <c r="Y77" s="7" t="str">
        <f>Tabella2[[#This Row],[Mean RADIAL stress  (MPa)]]</f>
        <v>Null</v>
      </c>
      <c r="Z77" s="7" t="str">
        <f>Tabella2[[#This Row],[Amplitute RADIAL stress  (MPa)]]</f>
        <v>Null</v>
      </c>
      <c r="AA7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7" s="8">
        <f>IF( AND(ISNUMBER(Tabella2[[#This Row],[Mean AXIAL stress  (MPa)]]), ISNUMBER(Tabella2[[#This Row],[Area (mm^2)]])), Tabella2[[#This Row],[Mean AXIAL stress  (MPa)]]*Tabella2[[#This Row],[Area (mm^2)]], "Null")</f>
        <v>3029.2146709222679</v>
      </c>
      <c r="AC77" s="8">
        <f>IF( AND(ISNUMBER(Tabella2[[#This Row],[Amplitute AXIAL stress  (MPa)]]), ISNUMBER(Tabella2[[#This Row],[Area (mm^2)]])), Tabella2[[#This Row],[Amplitute AXIAL stress  (MPa)]]*Tabella2[[#This Row],[Area (mm^2)]],"Null")</f>
        <v>3029.2146709222679</v>
      </c>
      <c r="AD77" s="8">
        <f>IF( AND(ISNUMBER(Tabella2[[#This Row],[Amplitude AXIAL force (N)]]), ISNUMBER(Tabella2[[#This Row],[Mean AXIAL force (N)]])), Tabella2[[#This Row],[Amplitude AXIAL force (N)]]+Tabella2[[#This Row],[Mean AXIAL force (N)]],"Null")</f>
        <v>6058.4293418445359</v>
      </c>
      <c r="AE7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241.05724428188401</v>
      </c>
      <c r="AI7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8" spans="1:35" x14ac:dyDescent="0.25">
      <c r="A78" s="1" t="s">
        <v>86</v>
      </c>
      <c r="B78" s="1">
        <v>2024</v>
      </c>
      <c r="C78" s="1" t="s">
        <v>55</v>
      </c>
      <c r="D78" s="1" t="s">
        <v>137</v>
      </c>
      <c r="E78" s="1">
        <v>221118.01442486999</v>
      </c>
      <c r="F78" s="1" t="s">
        <v>34</v>
      </c>
      <c r="G78" s="1" t="s">
        <v>43</v>
      </c>
      <c r="H78" s="1" t="e" vm="4">
        <v>#VALUE!</v>
      </c>
      <c r="I78" s="1" t="s">
        <v>45</v>
      </c>
      <c r="J78" s="1" t="s">
        <v>34</v>
      </c>
      <c r="K78" s="1">
        <v>4</v>
      </c>
      <c r="L78" s="8">
        <f>PI()*(Tabella2[[#This Row],[Diameter (mm)]]/2)^2</f>
        <v>12.566370614359172</v>
      </c>
      <c r="M78" s="8" t="s">
        <v>35</v>
      </c>
      <c r="N78" s="1" t="s">
        <v>35</v>
      </c>
      <c r="O78" s="1" t="s">
        <v>35</v>
      </c>
      <c r="P78" s="1" t="s">
        <v>35</v>
      </c>
      <c r="Q78" s="1">
        <v>0</v>
      </c>
      <c r="R78" s="1" t="s">
        <v>35</v>
      </c>
      <c r="S7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8" s="1" t="s">
        <v>35</v>
      </c>
      <c r="U78" s="1">
        <f>IF(ISNUMBER(Tabella2[[#This Row],[Amplitute AXIAL stress  (MPa)]]), (1+Tabella2[[#This Row],[Load ratio (AXIAL)]])*Tabella2[[#This Row],[Amplitute AXIAL stress  (MPa)]]/(1-Tabella2[[#This Row],[Load ratio (AXIAL)]]), "Null")</f>
        <v>224.38026487041699</v>
      </c>
      <c r="V78" s="7">
        <v>224.38026487041699</v>
      </c>
      <c r="W7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8" s="1" t="s">
        <v>35</v>
      </c>
      <c r="Y78" s="7" t="str">
        <f>Tabella2[[#This Row],[Mean RADIAL stress  (MPa)]]</f>
        <v>Null</v>
      </c>
      <c r="Z78" s="7" t="str">
        <f>Tabella2[[#This Row],[Amplitute RADIAL stress  (MPa)]]</f>
        <v>Null</v>
      </c>
      <c r="AA7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8" s="8">
        <f>IF( AND(ISNUMBER(Tabella2[[#This Row],[Mean AXIAL stress  (MPa)]]), ISNUMBER(Tabella2[[#This Row],[Area (mm^2)]])), Tabella2[[#This Row],[Mean AXIAL stress  (MPa)]]*Tabella2[[#This Row],[Area (mm^2)]], "Null")</f>
        <v>2819.6455669097359</v>
      </c>
      <c r="AC78" s="8">
        <f>IF( AND(ISNUMBER(Tabella2[[#This Row],[Amplitute AXIAL stress  (MPa)]]), ISNUMBER(Tabella2[[#This Row],[Area (mm^2)]])), Tabella2[[#This Row],[Amplitute AXIAL stress  (MPa)]]*Tabella2[[#This Row],[Area (mm^2)]],"Null")</f>
        <v>2819.6455669097359</v>
      </c>
      <c r="AD78" s="8">
        <f>IF( AND(ISNUMBER(Tabella2[[#This Row],[Amplitude AXIAL force (N)]]), ISNUMBER(Tabella2[[#This Row],[Mean AXIAL force (N)]])), Tabella2[[#This Row],[Amplitude AXIAL force (N)]]+Tabella2[[#This Row],[Mean AXIAL force (N)]],"Null")</f>
        <v>5639.2911338194717</v>
      </c>
      <c r="AE7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8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  <c r="AI7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9" spans="1:35" x14ac:dyDescent="0.25">
      <c r="A79" s="1" t="s">
        <v>86</v>
      </c>
      <c r="B79" s="1">
        <v>2024</v>
      </c>
      <c r="C79" s="1" t="s">
        <v>55</v>
      </c>
      <c r="D79" s="1" t="s">
        <v>138</v>
      </c>
      <c r="E79" s="1">
        <v>262112.51782478701</v>
      </c>
      <c r="F79" s="1" t="s">
        <v>34</v>
      </c>
      <c r="G79" s="1" t="s">
        <v>43</v>
      </c>
      <c r="H79" s="1" t="e" vm="4">
        <v>#VALUE!</v>
      </c>
      <c r="I79" s="1" t="s">
        <v>45</v>
      </c>
      <c r="J79" s="1" t="s">
        <v>34</v>
      </c>
      <c r="K79" s="1">
        <v>4</v>
      </c>
      <c r="L79" s="8">
        <f>PI()*(Tabella2[[#This Row],[Diameter (mm)]]/2)^2</f>
        <v>12.566370614359172</v>
      </c>
      <c r="M79" s="8" t="s">
        <v>35</v>
      </c>
      <c r="N79" s="1" t="s">
        <v>35</v>
      </c>
      <c r="O79" s="1" t="s">
        <v>35</v>
      </c>
      <c r="P79" s="1" t="s">
        <v>35</v>
      </c>
      <c r="Q79" s="1">
        <v>0</v>
      </c>
      <c r="R79" s="1" t="s">
        <v>35</v>
      </c>
      <c r="S7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9" s="1" t="s">
        <v>35</v>
      </c>
      <c r="U79" s="1">
        <f>IF(ISNUMBER(Tabella2[[#This Row],[Amplitute AXIAL stress  (MPa)]]), (1+Tabella2[[#This Row],[Load ratio (AXIAL)]])*Tabella2[[#This Row],[Amplitute AXIAL stress  (MPa)]]/(1-Tabella2[[#This Row],[Load ratio (AXIAL)]]), "Null")</f>
        <v>224.38026487041699</v>
      </c>
      <c r="V79" s="7">
        <v>224.38026487041699</v>
      </c>
      <c r="W7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9" s="1" t="s">
        <v>35</v>
      </c>
      <c r="Y79" s="7" t="str">
        <f>Tabella2[[#This Row],[Mean RADIAL stress  (MPa)]]</f>
        <v>Null</v>
      </c>
      <c r="Z79" s="7" t="str">
        <f>Tabella2[[#This Row],[Amplitute RADIAL stress  (MPa)]]</f>
        <v>Null</v>
      </c>
      <c r="AA7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9" s="8">
        <f>IF( AND(ISNUMBER(Tabella2[[#This Row],[Mean AXIAL stress  (MPa)]]), ISNUMBER(Tabella2[[#This Row],[Area (mm^2)]])), Tabella2[[#This Row],[Mean AXIAL stress  (MPa)]]*Tabella2[[#This Row],[Area (mm^2)]], "Null")</f>
        <v>2819.6455669097359</v>
      </c>
      <c r="AC79" s="8">
        <f>IF( AND(ISNUMBER(Tabella2[[#This Row],[Amplitute AXIAL stress  (MPa)]]), ISNUMBER(Tabella2[[#This Row],[Area (mm^2)]])), Tabella2[[#This Row],[Amplitute AXIAL stress  (MPa)]]*Tabella2[[#This Row],[Area (mm^2)]],"Null")</f>
        <v>2819.6455669097359</v>
      </c>
      <c r="AD79" s="8">
        <f>IF( AND(ISNUMBER(Tabella2[[#This Row],[Amplitude AXIAL force (N)]]), ISNUMBER(Tabella2[[#This Row],[Mean AXIAL force (N)]])), Tabella2[[#This Row],[Amplitude AXIAL force (N)]]+Tabella2[[#This Row],[Mean AXIAL force (N)]],"Null")</f>
        <v>5639.2911338194717</v>
      </c>
      <c r="AE7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9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7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  <c r="AI7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0" spans="1:35" x14ac:dyDescent="0.25">
      <c r="A80" s="1" t="s">
        <v>86</v>
      </c>
      <c r="B80" s="1">
        <v>2024</v>
      </c>
      <c r="C80" s="1" t="s">
        <v>55</v>
      </c>
      <c r="D80" s="1" t="s">
        <v>139</v>
      </c>
      <c r="E80" s="1">
        <v>242231.351892637</v>
      </c>
      <c r="F80" s="1" t="s">
        <v>34</v>
      </c>
      <c r="G80" s="1" t="s">
        <v>43</v>
      </c>
      <c r="H80" s="1" t="e" vm="4">
        <v>#VALUE!</v>
      </c>
      <c r="I80" s="1" t="s">
        <v>45</v>
      </c>
      <c r="J80" s="1" t="s">
        <v>34</v>
      </c>
      <c r="K80" s="1">
        <v>4</v>
      </c>
      <c r="L80" s="8">
        <f>PI()*(Tabella2[[#This Row],[Diameter (mm)]]/2)^2</f>
        <v>12.566370614359172</v>
      </c>
      <c r="M80" s="8" t="s">
        <v>35</v>
      </c>
      <c r="N80" s="1" t="s">
        <v>35</v>
      </c>
      <c r="O80" s="1" t="s">
        <v>35</v>
      </c>
      <c r="P80" s="1" t="s">
        <v>35</v>
      </c>
      <c r="Q80" s="1">
        <v>0</v>
      </c>
      <c r="R80" s="1" t="s">
        <v>35</v>
      </c>
      <c r="S8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0" s="1" t="s">
        <v>35</v>
      </c>
      <c r="U80" s="1">
        <f>IF(ISNUMBER(Tabella2[[#This Row],[Amplitute AXIAL stress  (MPa)]]), (1+Tabella2[[#This Row],[Load ratio (AXIAL)]])*Tabella2[[#This Row],[Amplitute AXIAL stress  (MPa)]]/(1-Tabella2[[#This Row],[Load ratio (AXIAL)]]), "Null")</f>
        <v>209.739692547478</v>
      </c>
      <c r="V80" s="7">
        <v>209.739692547478</v>
      </c>
      <c r="W8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0" s="1" t="s">
        <v>35</v>
      </c>
      <c r="Y80" s="7" t="str">
        <f>Tabella2[[#This Row],[Mean RADIAL stress  (MPa)]]</f>
        <v>Null</v>
      </c>
      <c r="Z80" s="7" t="str">
        <f>Tabella2[[#This Row],[Amplitute RADIAL stress  (MPa)]]</f>
        <v>Null</v>
      </c>
      <c r="AA8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0" s="8">
        <f>IF( AND(ISNUMBER(Tabella2[[#This Row],[Mean AXIAL stress  (MPa)]]), ISNUMBER(Tabella2[[#This Row],[Area (mm^2)]])), Tabella2[[#This Row],[Mean AXIAL stress  (MPa)]]*Tabella2[[#This Row],[Area (mm^2)]], "Null")</f>
        <v>2635.6667090933552</v>
      </c>
      <c r="AC80" s="8">
        <f>IF( AND(ISNUMBER(Tabella2[[#This Row],[Amplitute AXIAL stress  (MPa)]]), ISNUMBER(Tabella2[[#This Row],[Area (mm^2)]])), Tabella2[[#This Row],[Amplitute AXIAL stress  (MPa)]]*Tabella2[[#This Row],[Area (mm^2)]],"Null")</f>
        <v>2635.6667090933552</v>
      </c>
      <c r="AD80" s="8">
        <f>IF( AND(ISNUMBER(Tabella2[[#This Row],[Amplitude AXIAL force (N)]]), ISNUMBER(Tabella2[[#This Row],[Mean AXIAL force (N)]])), Tabella2[[#This Row],[Amplitude AXIAL force (N)]]+Tabella2[[#This Row],[Mean AXIAL force (N)]],"Null")</f>
        <v>5271.3334181867103</v>
      </c>
      <c r="AE8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0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209.739692547478</v>
      </c>
      <c r="AI8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1" spans="1:35" x14ac:dyDescent="0.25">
      <c r="A81" s="1" t="s">
        <v>86</v>
      </c>
      <c r="B81" s="1">
        <v>2024</v>
      </c>
      <c r="C81" s="1" t="s">
        <v>55</v>
      </c>
      <c r="D81" s="1" t="s">
        <v>140</v>
      </c>
      <c r="E81" s="1">
        <v>448190.98851836799</v>
      </c>
      <c r="F81" s="1" t="s">
        <v>34</v>
      </c>
      <c r="G81" s="1" t="s">
        <v>43</v>
      </c>
      <c r="H81" s="1" t="e" vm="4">
        <v>#VALUE!</v>
      </c>
      <c r="I81" s="1" t="s">
        <v>45</v>
      </c>
      <c r="J81" s="1" t="s">
        <v>34</v>
      </c>
      <c r="K81" s="1">
        <v>4</v>
      </c>
      <c r="L81" s="8">
        <f>PI()*(Tabella2[[#This Row],[Diameter (mm)]]/2)^2</f>
        <v>12.566370614359172</v>
      </c>
      <c r="M81" s="8" t="s">
        <v>35</v>
      </c>
      <c r="N81" s="1" t="s">
        <v>35</v>
      </c>
      <c r="O81" s="1" t="s">
        <v>35</v>
      </c>
      <c r="P81" s="1" t="s">
        <v>35</v>
      </c>
      <c r="Q81" s="1">
        <v>0</v>
      </c>
      <c r="R81" s="1" t="s">
        <v>35</v>
      </c>
      <c r="S8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1" s="1" t="s">
        <v>35</v>
      </c>
      <c r="U81" s="1">
        <f>IF(ISNUMBER(Tabella2[[#This Row],[Amplitute AXIAL stress  (MPa)]]), (1+Tabella2[[#This Row],[Load ratio (AXIAL)]])*Tabella2[[#This Row],[Amplitute AXIAL stress  (MPa)]]/(1-Tabella2[[#This Row],[Load ratio (AXIAL)]]), "Null")</f>
        <v>226.28077630597551</v>
      </c>
      <c r="V81" s="7">
        <v>226.28077630597551</v>
      </c>
      <c r="W8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1" s="1" t="s">
        <v>35</v>
      </c>
      <c r="Y81" s="7" t="str">
        <f>Tabella2[[#This Row],[Mean RADIAL stress  (MPa)]]</f>
        <v>Null</v>
      </c>
      <c r="Z81" s="7" t="str">
        <f>Tabella2[[#This Row],[Amplitute RADIAL stress  (MPa)]]</f>
        <v>Null</v>
      </c>
      <c r="AA8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1" s="8">
        <f>IF( AND(ISNUMBER(Tabella2[[#This Row],[Mean AXIAL stress  (MPa)]]), ISNUMBER(Tabella2[[#This Row],[Area (mm^2)]])), Tabella2[[#This Row],[Mean AXIAL stress  (MPa)]]*Tabella2[[#This Row],[Area (mm^2)]], "Null")</f>
        <v>2843.5280979657919</v>
      </c>
      <c r="AC81" s="8">
        <f>IF( AND(ISNUMBER(Tabella2[[#This Row],[Amplitute AXIAL stress  (MPa)]]), ISNUMBER(Tabella2[[#This Row],[Area (mm^2)]])), Tabella2[[#This Row],[Amplitute AXIAL stress  (MPa)]]*Tabella2[[#This Row],[Area (mm^2)]],"Null")</f>
        <v>2843.5280979657919</v>
      </c>
      <c r="AD81" s="8">
        <f>IF( AND(ISNUMBER(Tabella2[[#This Row],[Amplitude AXIAL force (N)]]), ISNUMBER(Tabella2[[#This Row],[Mean AXIAL force (N)]])), Tabella2[[#This Row],[Amplitude AXIAL force (N)]]+Tabella2[[#This Row],[Mean AXIAL force (N)]],"Null")</f>
        <v>5687.0561959315837</v>
      </c>
      <c r="AE8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1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226.28077630597551</v>
      </c>
      <c r="AI8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2" spans="1:35" x14ac:dyDescent="0.25">
      <c r="A82" s="1" t="s">
        <v>86</v>
      </c>
      <c r="B82" s="1">
        <v>2024</v>
      </c>
      <c r="C82" s="1" t="s">
        <v>55</v>
      </c>
      <c r="D82" s="1" t="s">
        <v>141</v>
      </c>
      <c r="E82" s="1">
        <v>589889.81233492901</v>
      </c>
      <c r="F82" s="1" t="s">
        <v>34</v>
      </c>
      <c r="G82" s="1" t="s">
        <v>43</v>
      </c>
      <c r="H82" s="1" t="e" vm="4">
        <v>#VALUE!</v>
      </c>
      <c r="I82" s="1" t="s">
        <v>45</v>
      </c>
      <c r="J82" s="1" t="s">
        <v>34</v>
      </c>
      <c r="K82" s="1">
        <v>4</v>
      </c>
      <c r="L82" s="8">
        <f>PI()*(Tabella2[[#This Row],[Diameter (mm)]]/2)^2</f>
        <v>12.566370614359172</v>
      </c>
      <c r="M82" s="8" t="s">
        <v>35</v>
      </c>
      <c r="N82" s="1" t="s">
        <v>35</v>
      </c>
      <c r="O82" s="1" t="s">
        <v>35</v>
      </c>
      <c r="P82" s="1" t="s">
        <v>35</v>
      </c>
      <c r="Q82" s="1">
        <v>0</v>
      </c>
      <c r="R82" s="1" t="s">
        <v>35</v>
      </c>
      <c r="S8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2" s="1" t="s">
        <v>35</v>
      </c>
      <c r="U82" s="1">
        <f>IF(ISNUMBER(Tabella2[[#This Row],[Amplitute AXIAL stress  (MPa)]]), (1+Tabella2[[#This Row],[Load ratio (AXIAL)]])*Tabella2[[#This Row],[Amplitute AXIAL stress  (MPa)]]/(1-Tabella2[[#This Row],[Load ratio (AXIAL)]]), "Null")</f>
        <v>225.32851688727351</v>
      </c>
      <c r="V82" s="7">
        <v>225.32851688727351</v>
      </c>
      <c r="W8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2" s="1" t="s">
        <v>35</v>
      </c>
      <c r="Y82" s="7" t="str">
        <f>Tabella2[[#This Row],[Mean RADIAL stress  (MPa)]]</f>
        <v>Null</v>
      </c>
      <c r="Z82" s="7" t="str">
        <f>Tabella2[[#This Row],[Amplitute RADIAL stress  (MPa)]]</f>
        <v>Null</v>
      </c>
      <c r="AA8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2" s="8">
        <f>IF( AND(ISNUMBER(Tabella2[[#This Row],[Mean AXIAL stress  (MPa)]]), ISNUMBER(Tabella2[[#This Row],[Area (mm^2)]])), Tabella2[[#This Row],[Mean AXIAL stress  (MPa)]]*Tabella2[[#This Row],[Area (mm^2)]], "Null")</f>
        <v>2831.5616531893684</v>
      </c>
      <c r="AC82" s="8">
        <f>IF( AND(ISNUMBER(Tabella2[[#This Row],[Amplitute AXIAL stress  (MPa)]]), ISNUMBER(Tabella2[[#This Row],[Area (mm^2)]])), Tabella2[[#This Row],[Amplitute AXIAL stress  (MPa)]]*Tabella2[[#This Row],[Area (mm^2)]],"Null")</f>
        <v>2831.5616531893684</v>
      </c>
      <c r="AD82" s="8">
        <f>IF( AND(ISNUMBER(Tabella2[[#This Row],[Amplitude AXIAL force (N)]]), ISNUMBER(Tabella2[[#This Row],[Mean AXIAL force (N)]])), Tabella2[[#This Row],[Amplitude AXIAL force (N)]]+Tabella2[[#This Row],[Mean AXIAL force (N)]],"Null")</f>
        <v>5663.1233063787367</v>
      </c>
      <c r="AE8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2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225.32851688727351</v>
      </c>
      <c r="AI8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3" spans="1:35" x14ac:dyDescent="0.25">
      <c r="A83" s="1" t="s">
        <v>86</v>
      </c>
      <c r="B83" s="1">
        <v>2024</v>
      </c>
      <c r="C83" s="1" t="s">
        <v>55</v>
      </c>
      <c r="D83" s="1" t="s">
        <v>142</v>
      </c>
      <c r="E83" s="1">
        <v>613487.81895109196</v>
      </c>
      <c r="F83" s="1" t="s">
        <v>34</v>
      </c>
      <c r="G83" s="1" t="s">
        <v>43</v>
      </c>
      <c r="H83" s="1" t="e" vm="4">
        <v>#VALUE!</v>
      </c>
      <c r="I83" s="1" t="s">
        <v>45</v>
      </c>
      <c r="J83" s="1" t="s">
        <v>34</v>
      </c>
      <c r="K83" s="1">
        <v>4</v>
      </c>
      <c r="L83" s="8">
        <f>PI()*(Tabella2[[#This Row],[Diameter (mm)]]/2)^2</f>
        <v>12.566370614359172</v>
      </c>
      <c r="M83" s="8" t="s">
        <v>35</v>
      </c>
      <c r="N83" s="1" t="s">
        <v>35</v>
      </c>
      <c r="O83" s="1" t="s">
        <v>35</v>
      </c>
      <c r="P83" s="1" t="s">
        <v>35</v>
      </c>
      <c r="Q83" s="1">
        <v>0</v>
      </c>
      <c r="R83" s="1" t="s">
        <v>35</v>
      </c>
      <c r="S8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3" s="1" t="s">
        <v>35</v>
      </c>
      <c r="U83" s="1">
        <f>IF(ISNUMBER(Tabella2[[#This Row],[Amplitute AXIAL stress  (MPa)]]), (1+Tabella2[[#This Row],[Load ratio (AXIAL)]])*Tabella2[[#This Row],[Amplitute AXIAL stress  (MPa)]]/(1-Tabella2[[#This Row],[Load ratio (AXIAL)]]), "Null")</f>
        <v>224.38026487041699</v>
      </c>
      <c r="V83" s="7">
        <v>224.38026487041699</v>
      </c>
      <c r="W8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3" s="1" t="s">
        <v>35</v>
      </c>
      <c r="Y83" s="7" t="str">
        <f>Tabella2[[#This Row],[Mean RADIAL stress  (MPa)]]</f>
        <v>Null</v>
      </c>
      <c r="Z83" s="7" t="str">
        <f>Tabella2[[#This Row],[Amplitute RADIAL stress  (MPa)]]</f>
        <v>Null</v>
      </c>
      <c r="AA8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3" s="8">
        <f>IF( AND(ISNUMBER(Tabella2[[#This Row],[Mean AXIAL stress  (MPa)]]), ISNUMBER(Tabella2[[#This Row],[Area (mm^2)]])), Tabella2[[#This Row],[Mean AXIAL stress  (MPa)]]*Tabella2[[#This Row],[Area (mm^2)]], "Null")</f>
        <v>2819.6455669097359</v>
      </c>
      <c r="AC83" s="8">
        <f>IF( AND(ISNUMBER(Tabella2[[#This Row],[Amplitute AXIAL stress  (MPa)]]), ISNUMBER(Tabella2[[#This Row],[Area (mm^2)]])), Tabella2[[#This Row],[Amplitute AXIAL stress  (MPa)]]*Tabella2[[#This Row],[Area (mm^2)]],"Null")</f>
        <v>2819.6455669097359</v>
      </c>
      <c r="AD83" s="8">
        <f>IF( AND(ISNUMBER(Tabella2[[#This Row],[Amplitude AXIAL force (N)]]), ISNUMBER(Tabella2[[#This Row],[Mean AXIAL force (N)]])), Tabella2[[#This Row],[Amplitude AXIAL force (N)]]+Tabella2[[#This Row],[Mean AXIAL force (N)]],"Null")</f>
        <v>5639.2911338194717</v>
      </c>
      <c r="AE8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3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  <c r="AI8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4" spans="1:35" x14ac:dyDescent="0.25">
      <c r="A84" s="1" t="s">
        <v>86</v>
      </c>
      <c r="B84" s="1">
        <v>2024</v>
      </c>
      <c r="C84" s="1" t="s">
        <v>55</v>
      </c>
      <c r="D84" s="1" t="s">
        <v>143</v>
      </c>
      <c r="E84" s="1">
        <v>1513696.1672995901</v>
      </c>
      <c r="F84" s="1" t="s">
        <v>34</v>
      </c>
      <c r="G84" s="1" t="s">
        <v>43</v>
      </c>
      <c r="H84" s="1" t="e" vm="4">
        <v>#VALUE!</v>
      </c>
      <c r="I84" s="1" t="s">
        <v>45</v>
      </c>
      <c r="J84" s="1" t="s">
        <v>34</v>
      </c>
      <c r="K84" s="1">
        <v>4</v>
      </c>
      <c r="L84" s="8">
        <f>PI()*(Tabella2[[#This Row],[Diameter (mm)]]/2)^2</f>
        <v>12.566370614359172</v>
      </c>
      <c r="M84" s="8" t="s">
        <v>35</v>
      </c>
      <c r="N84" s="1" t="s">
        <v>35</v>
      </c>
      <c r="O84" s="1" t="s">
        <v>35</v>
      </c>
      <c r="P84" s="1" t="s">
        <v>35</v>
      </c>
      <c r="Q84" s="1">
        <v>0</v>
      </c>
      <c r="R84" s="1" t="s">
        <v>35</v>
      </c>
      <c r="S8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4" s="1" t="s">
        <v>35</v>
      </c>
      <c r="U84" s="1">
        <f>IF(ISNUMBER(Tabella2[[#This Row],[Amplitute AXIAL stress  (MPa)]]), (1+Tabella2[[#This Row],[Load ratio (AXIAL)]])*Tabella2[[#This Row],[Amplitute AXIAL stress  (MPa)]]/(1-Tabella2[[#This Row],[Load ratio (AXIAL)]]), "Null")</f>
        <v>242.07597477585199</v>
      </c>
      <c r="V84" s="7">
        <v>242.07597477585199</v>
      </c>
      <c r="W8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4" s="1" t="s">
        <v>35</v>
      </c>
      <c r="Y84" s="7" t="str">
        <f>Tabella2[[#This Row],[Mean RADIAL stress  (MPa)]]</f>
        <v>Null</v>
      </c>
      <c r="Z84" s="7" t="str">
        <f>Tabella2[[#This Row],[Amplitute RADIAL stress  (MPa)]]</f>
        <v>Null</v>
      </c>
      <c r="AA8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4" s="8">
        <f>IF( AND(ISNUMBER(Tabella2[[#This Row],[Mean AXIAL stress  (MPa)]]), ISNUMBER(Tabella2[[#This Row],[Area (mm^2)]])), Tabella2[[#This Row],[Mean AXIAL stress  (MPa)]]*Tabella2[[#This Row],[Area (mm^2)]], "Null")</f>
        <v>3042.0164158656189</v>
      </c>
      <c r="AC84" s="8">
        <f>IF( AND(ISNUMBER(Tabella2[[#This Row],[Amplitute AXIAL stress  (MPa)]]), ISNUMBER(Tabella2[[#This Row],[Area (mm^2)]])), Tabella2[[#This Row],[Amplitute AXIAL stress  (MPa)]]*Tabella2[[#This Row],[Area (mm^2)]],"Null")</f>
        <v>3042.0164158656189</v>
      </c>
      <c r="AD84" s="8">
        <f>IF( AND(ISNUMBER(Tabella2[[#This Row],[Amplitude AXIAL force (N)]]), ISNUMBER(Tabella2[[#This Row],[Mean AXIAL force (N)]])), Tabella2[[#This Row],[Amplitude AXIAL force (N)]]+Tabella2[[#This Row],[Mean AXIAL force (N)]],"Null")</f>
        <v>6084.0328317312378</v>
      </c>
      <c r="AE8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4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242.07597477585199</v>
      </c>
      <c r="AI8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5" spans="1:35" x14ac:dyDescent="0.25">
      <c r="A85" s="1" t="s">
        <v>86</v>
      </c>
      <c r="B85" s="1">
        <v>2024</v>
      </c>
      <c r="C85" s="1" t="s">
        <v>55</v>
      </c>
      <c r="D85" s="1" t="s">
        <v>144</v>
      </c>
      <c r="E85" s="1">
        <v>10083492.331762001</v>
      </c>
      <c r="F85" s="1" t="s">
        <v>50</v>
      </c>
      <c r="G85" s="1" t="s">
        <v>43</v>
      </c>
      <c r="H85" s="1" t="e" vm="4">
        <v>#VALUE!</v>
      </c>
      <c r="I85" s="1" t="s">
        <v>45</v>
      </c>
      <c r="J85" s="1" t="s">
        <v>34</v>
      </c>
      <c r="K85" s="1">
        <v>4</v>
      </c>
      <c r="L85" s="8">
        <f>PI()*(Tabella2[[#This Row],[Diameter (mm)]]/2)^2</f>
        <v>12.566370614359172</v>
      </c>
      <c r="M85" s="8" t="s">
        <v>35</v>
      </c>
      <c r="N85" s="1" t="s">
        <v>35</v>
      </c>
      <c r="O85" s="1" t="s">
        <v>35</v>
      </c>
      <c r="P85" s="1" t="s">
        <v>35</v>
      </c>
      <c r="Q85" s="1">
        <v>0</v>
      </c>
      <c r="R85" s="1" t="s">
        <v>35</v>
      </c>
      <c r="S8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5" s="1" t="s">
        <v>35</v>
      </c>
      <c r="U85" s="1">
        <f>IF(ISNUMBER(Tabella2[[#This Row],[Amplitute AXIAL stress  (MPa)]]), (1+Tabella2[[#This Row],[Load ratio (AXIAL)]])*Tabella2[[#This Row],[Amplitute AXIAL stress  (MPa)]]/(1-Tabella2[[#This Row],[Load ratio (AXIAL)]]), "Null")</f>
        <v>215.11447653364851</v>
      </c>
      <c r="V85" s="7">
        <v>215.11447653364851</v>
      </c>
      <c r="W8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5" s="1" t="s">
        <v>35</v>
      </c>
      <c r="Y85" s="7" t="str">
        <f>Tabella2[[#This Row],[Mean RADIAL stress  (MPa)]]</f>
        <v>Null</v>
      </c>
      <c r="Z85" s="7" t="str">
        <f>Tabella2[[#This Row],[Amplitute RADIAL stress  (MPa)]]</f>
        <v>Null</v>
      </c>
      <c r="AA8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5" s="8">
        <f>IF( AND(ISNUMBER(Tabella2[[#This Row],[Mean AXIAL stress  (MPa)]]), ISNUMBER(Tabella2[[#This Row],[Area (mm^2)]])), Tabella2[[#This Row],[Mean AXIAL stress  (MPa)]]*Tabella2[[#This Row],[Area (mm^2)]], "Null")</f>
        <v>2703.2082366356963</v>
      </c>
      <c r="AC85" s="8">
        <f>IF( AND(ISNUMBER(Tabella2[[#This Row],[Amplitute AXIAL stress  (MPa)]]), ISNUMBER(Tabella2[[#This Row],[Area (mm^2)]])), Tabella2[[#This Row],[Amplitute AXIAL stress  (MPa)]]*Tabella2[[#This Row],[Area (mm^2)]],"Null")</f>
        <v>2703.2082366356963</v>
      </c>
      <c r="AD85" s="8">
        <f>IF( AND(ISNUMBER(Tabella2[[#This Row],[Amplitude AXIAL force (N)]]), ISNUMBER(Tabella2[[#This Row],[Mean AXIAL force (N)]])), Tabella2[[#This Row],[Amplitude AXIAL force (N)]]+Tabella2[[#This Row],[Mean AXIAL force (N)]],"Null")</f>
        <v>5406.4164732713925</v>
      </c>
      <c r="AE8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5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215.11447653364851</v>
      </c>
      <c r="AI8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6" spans="1:35" x14ac:dyDescent="0.25">
      <c r="A86" s="1" t="s">
        <v>86</v>
      </c>
      <c r="B86" s="1">
        <v>2024</v>
      </c>
      <c r="C86" s="1" t="s">
        <v>55</v>
      </c>
      <c r="D86" s="1" t="s">
        <v>145</v>
      </c>
      <c r="E86" s="1">
        <v>10080834.9325461</v>
      </c>
      <c r="F86" s="1" t="s">
        <v>50</v>
      </c>
      <c r="G86" s="1" t="s">
        <v>43</v>
      </c>
      <c r="H86" s="1" t="e" vm="4">
        <v>#VALUE!</v>
      </c>
      <c r="I86" s="1" t="s">
        <v>45</v>
      </c>
      <c r="J86" s="1" t="s">
        <v>34</v>
      </c>
      <c r="K86" s="1">
        <v>4</v>
      </c>
      <c r="L86" s="8">
        <f>PI()*(Tabella2[[#This Row],[Diameter (mm)]]/2)^2</f>
        <v>12.566370614359172</v>
      </c>
      <c r="M86" s="8" t="s">
        <v>35</v>
      </c>
      <c r="N86" s="1" t="s">
        <v>35</v>
      </c>
      <c r="O86" s="1" t="s">
        <v>35</v>
      </c>
      <c r="P86" s="1" t="s">
        <v>35</v>
      </c>
      <c r="Q86" s="1">
        <v>0</v>
      </c>
      <c r="R86" s="1" t="s">
        <v>35</v>
      </c>
      <c r="S8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6" s="1" t="s">
        <v>35</v>
      </c>
      <c r="U86" s="1">
        <f>IF(ISNUMBER(Tabella2[[#This Row],[Amplitute AXIAL stress  (MPa)]]), (1+Tabella2[[#This Row],[Load ratio (AXIAL)]])*Tabella2[[#This Row],[Amplitute AXIAL stress  (MPa)]]/(1-Tabella2[[#This Row],[Load ratio (AXIAL)]]), "Null")</f>
        <v>205.363434036618</v>
      </c>
      <c r="V86" s="7">
        <v>205.363434036618</v>
      </c>
      <c r="W8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6" s="1" t="s">
        <v>35</v>
      </c>
      <c r="Y86" s="7" t="str">
        <f>Tabella2[[#This Row],[Mean RADIAL stress  (MPa)]]</f>
        <v>Null</v>
      </c>
      <c r="Z86" s="7" t="str">
        <f>Tabella2[[#This Row],[Amplitute RADIAL stress  (MPa)]]</f>
        <v>Null</v>
      </c>
      <c r="AA8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6" s="8">
        <f>IF( AND(ISNUMBER(Tabella2[[#This Row],[Mean AXIAL stress  (MPa)]]), ISNUMBER(Tabella2[[#This Row],[Area (mm^2)]])), Tabella2[[#This Row],[Mean AXIAL stress  (MPa)]]*Tabella2[[#This Row],[Area (mm^2)]], "Null")</f>
        <v>2580.6730227416447</v>
      </c>
      <c r="AC86" s="8">
        <f>IF( AND(ISNUMBER(Tabella2[[#This Row],[Amplitute AXIAL stress  (MPa)]]), ISNUMBER(Tabella2[[#This Row],[Area (mm^2)]])), Tabella2[[#This Row],[Amplitute AXIAL stress  (MPa)]]*Tabella2[[#This Row],[Area (mm^2)]],"Null")</f>
        <v>2580.6730227416447</v>
      </c>
      <c r="AD86" s="8">
        <f>IF( AND(ISNUMBER(Tabella2[[#This Row],[Amplitude AXIAL force (N)]]), ISNUMBER(Tabella2[[#This Row],[Mean AXIAL force (N)]])), Tabella2[[#This Row],[Amplitude AXIAL force (N)]]+Tabella2[[#This Row],[Mean AXIAL force (N)]],"Null")</f>
        <v>5161.3460454832893</v>
      </c>
      <c r="AE8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6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205.363434036618</v>
      </c>
      <c r="AI8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7" spans="1:35" x14ac:dyDescent="0.25">
      <c r="A87" s="1" t="s">
        <v>86</v>
      </c>
      <c r="B87" s="1">
        <v>2024</v>
      </c>
      <c r="C87" s="1" t="s">
        <v>55</v>
      </c>
      <c r="D87" s="1" t="s">
        <v>146</v>
      </c>
      <c r="E87" s="1">
        <v>9947900.5566510092</v>
      </c>
      <c r="F87" s="1" t="s">
        <v>50</v>
      </c>
      <c r="G87" s="1" t="s">
        <v>43</v>
      </c>
      <c r="H87" s="1" t="e" vm="4">
        <v>#VALUE!</v>
      </c>
      <c r="I87" s="1" t="s">
        <v>45</v>
      </c>
      <c r="J87" s="1" t="s">
        <v>34</v>
      </c>
      <c r="K87" s="1">
        <v>4</v>
      </c>
      <c r="L87" s="8">
        <f>PI()*(Tabella2[[#This Row],[Diameter (mm)]]/2)^2</f>
        <v>12.566370614359172</v>
      </c>
      <c r="M87" s="8" t="s">
        <v>35</v>
      </c>
      <c r="N87" s="1" t="s">
        <v>35</v>
      </c>
      <c r="O87" s="1" t="s">
        <v>35</v>
      </c>
      <c r="P87" s="1" t="s">
        <v>35</v>
      </c>
      <c r="Q87" s="1">
        <v>0</v>
      </c>
      <c r="R87" s="1" t="s">
        <v>35</v>
      </c>
      <c r="S8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7" s="1" t="s">
        <v>35</v>
      </c>
      <c r="U87" s="1">
        <f>IF(ISNUMBER(Tabella2[[#This Row],[Amplitute AXIAL stress  (MPa)]]), (1+Tabella2[[#This Row],[Load ratio (AXIAL)]])*Tabella2[[#This Row],[Amplitute AXIAL stress  (MPa)]]/(1-Tabella2[[#This Row],[Load ratio (AXIAL)]]), "Null")</f>
        <v>198.550554026415</v>
      </c>
      <c r="V87" s="7">
        <v>198.550554026415</v>
      </c>
      <c r="W8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7" s="1" t="s">
        <v>35</v>
      </c>
      <c r="Y87" s="7" t="str">
        <f>Tabella2[[#This Row],[Mean RADIAL stress  (MPa)]]</f>
        <v>Null</v>
      </c>
      <c r="Z87" s="7" t="str">
        <f>Tabella2[[#This Row],[Amplitute RADIAL stress  (MPa)]]</f>
        <v>Null</v>
      </c>
      <c r="AA8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7" s="8">
        <f>IF( AND(ISNUMBER(Tabella2[[#This Row],[Mean AXIAL stress  (MPa)]]), ISNUMBER(Tabella2[[#This Row],[Area (mm^2)]])), Tabella2[[#This Row],[Mean AXIAL stress  (MPa)]]*Tabella2[[#This Row],[Area (mm^2)]], "Null")</f>
        <v>2495.0598475822749</v>
      </c>
      <c r="AC87" s="8">
        <f>IF( AND(ISNUMBER(Tabella2[[#This Row],[Amplitute AXIAL stress  (MPa)]]), ISNUMBER(Tabella2[[#This Row],[Area (mm^2)]])), Tabella2[[#This Row],[Amplitute AXIAL stress  (MPa)]]*Tabella2[[#This Row],[Area (mm^2)]],"Null")</f>
        <v>2495.0598475822749</v>
      </c>
      <c r="AD87" s="8">
        <f>IF( AND(ISNUMBER(Tabella2[[#This Row],[Amplitude AXIAL force (N)]]), ISNUMBER(Tabella2[[#This Row],[Mean AXIAL force (N)]])), Tabella2[[#This Row],[Amplitude AXIAL force (N)]]+Tabella2[[#This Row],[Mean AXIAL force (N)]],"Null")</f>
        <v>4990.1196951645497</v>
      </c>
      <c r="AE8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7" s="1" t="str">
        <f>IF(
   AND(ISNUMBER(Tabella2[[#This Row],[Amplitute SHEAR stress  (MPa)]]), ISNUMBER(Tabella2[[#This Row],[Polar momento of inertia (mm^4)]]), ISNUMBER(Tabella2[[#This Row],[Diameter (mm)]])),
   2*Tabella2[[#This Row],[Amplitute SHEAR stress  (MPa)]]*Tabella2[[#This Row],[Polar momento of inertia (mm^4)]]/(0.5*Tabella2[[#This Row],[Diameter (mm)]]),
   "Null"
)</f>
        <v>Null</v>
      </c>
      <c r="AG8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198.550554026415</v>
      </c>
      <c r="AI8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8" spans="1:3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8"/>
      <c r="M88" s="8"/>
      <c r="N88" s="1"/>
      <c r="O88" s="1"/>
      <c r="P88" s="1"/>
      <c r="Q88" s="1"/>
      <c r="R88" s="1"/>
      <c r="S88" s="1"/>
      <c r="T88" s="1"/>
      <c r="U88" s="1"/>
      <c r="V88" s="1"/>
      <c r="W88" s="7"/>
      <c r="X88" s="7"/>
      <c r="Y88" s="7"/>
      <c r="Z88" s="7"/>
      <c r="AA88" s="1"/>
      <c r="AB88" s="8"/>
      <c r="AC88" s="8"/>
      <c r="AD88" s="8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8"/>
      <c r="M89" s="8"/>
      <c r="N89" s="1"/>
      <c r="O89" s="1"/>
      <c r="P89" s="1"/>
      <c r="Q89" s="1"/>
      <c r="R89" s="1"/>
      <c r="S89" s="1"/>
      <c r="T89" s="1"/>
      <c r="U89" s="1"/>
      <c r="V89" s="1"/>
      <c r="W89" s="7"/>
      <c r="X89" s="7"/>
      <c r="Y89" s="7"/>
      <c r="Z89" s="7"/>
      <c r="AA89" s="1"/>
      <c r="AB89" s="8"/>
      <c r="AC89" s="8"/>
      <c r="AD89" s="8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8"/>
      <c r="M90" s="8"/>
      <c r="N90" s="1"/>
      <c r="O90" s="1"/>
      <c r="P90" s="1"/>
      <c r="Q90" s="1"/>
      <c r="R90" s="1"/>
      <c r="S90" s="1"/>
      <c r="T90" s="1"/>
      <c r="U90" s="1"/>
      <c r="V90" s="1"/>
      <c r="W90" s="7"/>
      <c r="X90" s="7"/>
      <c r="Y90" s="7"/>
      <c r="Z90" s="7"/>
      <c r="AA90" s="1"/>
      <c r="AB90" s="8"/>
      <c r="AC90" s="8"/>
      <c r="AD90" s="8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8"/>
      <c r="M91" s="8"/>
      <c r="N91" s="1"/>
      <c r="O91" s="1"/>
      <c r="P91" s="1"/>
      <c r="Q91" s="1"/>
      <c r="R91" s="1"/>
      <c r="S91" s="1"/>
      <c r="T91" s="1"/>
      <c r="U91" s="1"/>
      <c r="V91" s="1"/>
      <c r="W91" s="7"/>
      <c r="X91" s="7"/>
      <c r="Y91" s="7"/>
      <c r="Z91" s="7"/>
      <c r="AA91" s="1"/>
      <c r="AB91" s="8"/>
      <c r="AC91" s="8"/>
      <c r="AD91" s="8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8"/>
      <c r="M92" s="8"/>
      <c r="N92" s="1"/>
      <c r="O92" s="1"/>
      <c r="P92" s="1"/>
      <c r="Q92" s="1"/>
      <c r="R92" s="1"/>
      <c r="S92" s="1"/>
      <c r="T92" s="1"/>
      <c r="U92" s="1"/>
      <c r="V92" s="1"/>
      <c r="W92" s="7"/>
      <c r="X92" s="7"/>
      <c r="Y92" s="7"/>
      <c r="Z92" s="7"/>
      <c r="AA92" s="1"/>
      <c r="AB92" s="8"/>
      <c r="AC92" s="8"/>
      <c r="AD92" s="8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8"/>
      <c r="M93" s="8"/>
      <c r="N93" s="1"/>
      <c r="O93" s="1"/>
      <c r="P93" s="1"/>
      <c r="Q93" s="1"/>
      <c r="R93" s="1"/>
      <c r="S93" s="1"/>
      <c r="T93" s="1"/>
      <c r="U93" s="1"/>
      <c r="V93" s="1"/>
      <c r="W93" s="7"/>
      <c r="X93" s="7"/>
      <c r="Y93" s="7"/>
      <c r="Z93" s="7"/>
      <c r="AA93" s="1"/>
      <c r="AB93" s="8"/>
      <c r="AC93" s="8"/>
      <c r="AD93" s="8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8"/>
      <c r="M94" s="8"/>
      <c r="N94" s="1"/>
      <c r="O94" s="1"/>
      <c r="P94" s="1"/>
      <c r="Q94" s="1"/>
      <c r="R94" s="1"/>
      <c r="S94" s="1"/>
      <c r="T94" s="1"/>
      <c r="U94" s="1"/>
      <c r="V94" s="1"/>
      <c r="W94" s="7"/>
      <c r="X94" s="7"/>
      <c r="Y94" s="7"/>
      <c r="Z94" s="7"/>
      <c r="AA94" s="1"/>
      <c r="AB94" s="8"/>
      <c r="AC94" s="8"/>
      <c r="AD94" s="8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8"/>
      <c r="M95" s="8"/>
      <c r="N95" s="1"/>
      <c r="O95" s="1"/>
      <c r="P95" s="1"/>
      <c r="Q95" s="1"/>
      <c r="R95" s="1"/>
      <c r="S95" s="1"/>
      <c r="T95" s="1"/>
      <c r="U95" s="1"/>
      <c r="V95" s="1"/>
      <c r="W95" s="7"/>
      <c r="X95" s="7"/>
      <c r="Y95" s="7"/>
      <c r="Z95" s="7"/>
      <c r="AA95" s="1"/>
      <c r="AB95" s="8"/>
      <c r="AC95" s="8"/>
      <c r="AD95" s="8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8"/>
      <c r="M96" s="8"/>
      <c r="N96" s="1"/>
      <c r="O96" s="1"/>
      <c r="P96" s="1"/>
      <c r="Q96" s="1"/>
      <c r="R96" s="1"/>
      <c r="S96" s="1"/>
      <c r="T96" s="1"/>
      <c r="U96" s="1"/>
      <c r="V96" s="1"/>
      <c r="W96" s="7"/>
      <c r="X96" s="7"/>
      <c r="Y96" s="7"/>
      <c r="Z96" s="7"/>
      <c r="AA96" s="1"/>
      <c r="AB96" s="8"/>
      <c r="AC96" s="8"/>
      <c r="AD96" s="8"/>
      <c r="AE96" s="1"/>
      <c r="AF96" s="1"/>
      <c r="AG96" s="1"/>
      <c r="AH96" s="1"/>
      <c r="AI96" s="1"/>
    </row>
    <row r="97" spans="1:3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8"/>
      <c r="M97" s="8"/>
      <c r="N97" s="1"/>
      <c r="O97" s="1"/>
      <c r="P97" s="1"/>
      <c r="Q97" s="1"/>
      <c r="R97" s="1"/>
      <c r="S97" s="1"/>
      <c r="T97" s="1"/>
      <c r="U97" s="1"/>
      <c r="V97" s="1"/>
      <c r="W97" s="7"/>
      <c r="X97" s="7"/>
      <c r="Y97" s="7"/>
      <c r="Z97" s="7"/>
      <c r="AA97" s="1"/>
      <c r="AB97" s="8"/>
      <c r="AC97" s="8"/>
      <c r="AD97" s="8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8"/>
      <c r="M98" s="8"/>
      <c r="N98" s="1"/>
      <c r="O98" s="1"/>
      <c r="P98" s="1"/>
      <c r="Q98" s="1"/>
      <c r="R98" s="1"/>
      <c r="S98" s="1"/>
      <c r="T98" s="1"/>
      <c r="U98" s="1"/>
      <c r="V98" s="1"/>
      <c r="W98" s="7"/>
      <c r="X98" s="7"/>
      <c r="Y98" s="7"/>
      <c r="Z98" s="7"/>
      <c r="AA98" s="1"/>
      <c r="AB98" s="8"/>
      <c r="AC98" s="8"/>
      <c r="AD98" s="8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8"/>
      <c r="M99" s="8"/>
      <c r="N99" s="1"/>
      <c r="O99" s="1"/>
      <c r="P99" s="1"/>
      <c r="Q99" s="1"/>
      <c r="R99" s="1"/>
      <c r="S99" s="1"/>
      <c r="T99" s="1"/>
      <c r="U99" s="1"/>
      <c r="V99" s="1"/>
      <c r="W99" s="7"/>
      <c r="X99" s="7"/>
      <c r="Y99" s="7"/>
      <c r="Z99" s="7"/>
      <c r="AA99" s="1"/>
      <c r="AB99" s="8"/>
      <c r="AC99" s="8"/>
      <c r="AD99" s="8"/>
      <c r="AE99" s="1"/>
      <c r="AF99" s="1"/>
      <c r="AG99" s="1"/>
      <c r="AH99" s="1"/>
      <c r="AI99" s="1"/>
    </row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Andrea Chiocca</cp:lastModifiedBy>
  <dcterms:created xsi:type="dcterms:W3CDTF">2015-06-05T18:19:34Z</dcterms:created>
  <dcterms:modified xsi:type="dcterms:W3CDTF">2026-02-23T11:35:21Z</dcterms:modified>
</cp:coreProperties>
</file>